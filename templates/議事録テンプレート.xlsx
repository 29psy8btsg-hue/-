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議事録" sheetId="2" state="visible" r:id="rId4"/>
    <sheet name="アクション管理" sheetId="3" state="visible" r:id="rId5"/>
    <sheet name="会議ログ" sheetId="4" state="visible" r:id="rId6"/>
    <sheet name="設定" sheetId="5" state="visible" r:id="rId7"/>
  </sheets>
  <definedNames>
    <definedName function="false" hidden="false" localSheetId="2" name="_xlnm.Print_Area" vbProcedure="false">アクション管理!$A$1:$J$60</definedName>
    <definedName function="false" hidden="false" localSheetId="2" name="_xlnm.Print_Titles" vbProcedure="false">アクション管理!$1:$1</definedName>
    <definedName function="false" hidden="true" localSheetId="2" name="_xlnm._FilterDatabase" vbProcedure="false">アクション管理!$A$1:$J$201</definedName>
    <definedName function="false" hidden="false" localSheetId="3" name="_xlnm.Print_Area" vbProcedure="false">会議ログ!$A$1:$H$40</definedName>
    <definedName function="false" hidden="false" localSheetId="3" name="_xlnm.Print_Titles" vbProcedure="false">会議ログ!$1:$1</definedName>
    <definedName function="false" hidden="true" localSheetId="3" name="_xlnm._FilterDatabase" vbProcedure="false">会議ログ!$A$1:$H$101</definedName>
    <definedName function="false" hidden="false" localSheetId="0" name="_xlnm.Print_Area" vbProcedure="false">使い方!$A$1:$F$32</definedName>
    <definedName function="false" hidden="false" localSheetId="4" name="_xlnm.Print_Area" vbProcedure="false">設定!$A$1:$B$8</definedName>
    <definedName function="false" hidden="false" localSheetId="1" name="_xlnm.Print_Area" vbProcedure="false">議事録!$A$1:$G$63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<sst xmlns="http://schemas.openxmlformats.org/spreadsheetml/2006/main" count="149" uniqueCount="126">
  <si>
    <r>
      <rPr>
        <b val="true"/>
        <sz val="18"/>
        <color rgb="FF1F3B63"/>
        <rFont val="WenQuanYi Zen Hei"/>
        <family val="2"/>
      </rPr>
      <t xml:space="preserve">議事録テンプレート（</t>
    </r>
    <r>
      <rPr>
        <b val="true"/>
        <sz val="18"/>
        <color rgb="FF1F3B63"/>
        <rFont val="游ゴシック"/>
        <family val="0"/>
        <charset val="1"/>
      </rPr>
      <t xml:space="preserve">Excel</t>
    </r>
    <r>
      <rPr>
        <b val="true"/>
        <sz val="18"/>
        <color rgb="FF1F3B63"/>
        <rFont val="WenQuanYi Zen Hei"/>
        <family val="2"/>
      </rPr>
      <t xml:space="preserve">版）の使い方</t>
    </r>
  </si>
  <si>
    <r>
      <rPr>
        <sz val="10"/>
        <color rgb="FF555555"/>
        <rFont val="WenQuanYi Zen Hei"/>
        <family val="2"/>
      </rPr>
      <t xml:space="preserve">「議事録」シートで</t>
    </r>
    <r>
      <rPr>
        <sz val="10"/>
        <color rgb="FF555555"/>
        <rFont val="游ゴシック"/>
        <family val="0"/>
        <charset val="1"/>
      </rPr>
      <t xml:space="preserve">1</t>
    </r>
    <r>
      <rPr>
        <sz val="10"/>
        <color rgb="FF555555"/>
        <rFont val="WenQuanYi Zen Hei"/>
        <family val="2"/>
      </rPr>
      <t xml:space="preserve">回分を記録し、</t>
    </r>
    <r>
      <rPr>
        <sz val="10"/>
        <color rgb="FF555555"/>
        <rFont val="游ゴシック"/>
        <family val="0"/>
        <charset val="1"/>
      </rPr>
      <t xml:space="preserve">ToDo</t>
    </r>
    <r>
      <rPr>
        <sz val="10"/>
        <color rgb="FF555555"/>
        <rFont val="WenQuanYi Zen Hei"/>
        <family val="2"/>
      </rPr>
      <t xml:space="preserve">だけを「アクション管理」シートに集めて進捗を追いかける構成です。</t>
    </r>
  </si>
  <si>
    <t xml:space="preserve">シートの構成と使い分け</t>
  </si>
  <si>
    <t xml:space="preserve">シート名</t>
  </si>
  <si>
    <t xml:space="preserve">何をするシートか</t>
  </si>
  <si>
    <t xml:space="preserve">議事録</t>
  </si>
  <si>
    <r>
      <rPr>
        <sz val="11"/>
        <color rgb="FF000000"/>
        <rFont val="游ゴシック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回分の議事録。会議ごとにシートを右クリック →「移動またはコピー」→「コピーを作成する」で複製し、シート名を「</t>
    </r>
    <r>
      <rPr>
        <sz val="11"/>
        <color rgb="FF000000"/>
        <rFont val="游ゴシック"/>
        <family val="0"/>
        <charset val="1"/>
      </rPr>
      <t xml:space="preserve">0918_</t>
    </r>
    <r>
      <rPr>
        <sz val="11"/>
        <color rgb="FF000000"/>
        <rFont val="WenQuanYi Zen Hei"/>
        <family val="2"/>
      </rPr>
      <t xml:space="preserve">営業定例」などに変えて使います。</t>
    </r>
  </si>
  <si>
    <t xml:space="preserve">アクション管理</t>
  </si>
  <si>
    <r>
      <rPr>
        <sz val="11"/>
        <color rgb="FF000000"/>
        <rFont val="WenQuanYi Zen Hei"/>
        <family val="2"/>
      </rPr>
      <t xml:space="preserve">全会議の</t>
    </r>
    <r>
      <rPr>
        <sz val="11"/>
        <color rgb="FF000000"/>
        <rFont val="游ゴシック"/>
        <family val="0"/>
        <charset val="1"/>
      </rPr>
      <t xml:space="preserve">ToDo</t>
    </r>
    <r>
      <rPr>
        <sz val="11"/>
        <color rgb="FF000000"/>
        <rFont val="WenQuanYi Zen Hei"/>
        <family val="2"/>
      </rPr>
      <t xml:space="preserve">を</t>
    </r>
    <r>
      <rPr>
        <sz val="11"/>
        <color rgb="FF000000"/>
        <rFont val="游ゴシック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か所に集めるシート。期限切れは自動で赤、期限</t>
    </r>
    <r>
      <rPr>
        <sz val="11"/>
        <color rgb="FF000000"/>
        <rFont val="游ゴシック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日前は黄色になります。フィルターで担当者ごとに絞り込めます。</t>
    </r>
  </si>
  <si>
    <t xml:space="preserve">会議ログ</t>
  </si>
  <si>
    <r>
      <rPr>
        <sz val="11"/>
        <color rgb="FF000000"/>
        <rFont val="WenQuanYi Zen Hei"/>
        <family val="2"/>
      </rPr>
      <t xml:space="preserve">開催した会議の一覧。</t>
    </r>
    <r>
      <rPr>
        <sz val="11"/>
        <color rgb="FF000000"/>
        <rFont val="游ゴシック"/>
        <family val="0"/>
        <charset val="1"/>
      </rPr>
      <t xml:space="preserve">ToDo</t>
    </r>
    <r>
      <rPr>
        <sz val="11"/>
        <color rgb="FF000000"/>
        <rFont val="WenQuanYi Zen Hei"/>
        <family val="2"/>
      </rPr>
      <t xml:space="preserve">件数と未完了件数はアクション管理シートから自動集計されます。</t>
    </r>
  </si>
  <si>
    <t xml:space="preserve">設定</t>
  </si>
  <si>
    <t xml:space="preserve">ステータスの選択肢を管理するシート。言葉を変えたいときはここを編集します。</t>
  </si>
  <si>
    <t xml:space="preserve">色の意味</t>
  </si>
  <si>
    <t xml:space="preserve">うすい黄色</t>
  </si>
  <si>
    <t xml:space="preserve">入力する欄です。ここだけ書き換えてください。</t>
  </si>
  <si>
    <t xml:space="preserve">グレー</t>
  </si>
  <si>
    <t xml:space="preserve">数式が入っている自動計算欄です。上書きすると計算が壊れます。</t>
  </si>
  <si>
    <t xml:space="preserve">うすい緑</t>
  </si>
  <si>
    <t xml:space="preserve">記入例です。使い始めるときに行ごと削除してください。</t>
  </si>
  <si>
    <t xml:space="preserve">赤（自動）</t>
  </si>
  <si>
    <r>
      <rPr>
        <sz val="11"/>
        <color rgb="FF000000"/>
        <rFont val="WenQuanYi Zen Hei"/>
        <family val="2"/>
      </rPr>
      <t xml:space="preserve">アクション管理シートで期限を過ぎた未完了の</t>
    </r>
    <r>
      <rPr>
        <sz val="11"/>
        <color rgb="FF000000"/>
        <rFont val="游ゴシック"/>
        <family val="0"/>
        <charset val="1"/>
      </rPr>
      <t xml:space="preserve">ToDo</t>
    </r>
    <r>
      <rPr>
        <sz val="11"/>
        <color rgb="FF000000"/>
        <rFont val="WenQuanYi Zen Hei"/>
        <family val="2"/>
      </rPr>
      <t xml:space="preserve">です。</t>
    </r>
  </si>
  <si>
    <t xml:space="preserve">黄（自動）</t>
  </si>
  <si>
    <r>
      <rPr>
        <sz val="11"/>
        <color rgb="FF000000"/>
        <rFont val="WenQuanYi Zen Hei"/>
        <family val="2"/>
      </rPr>
      <t xml:space="preserve">アクション管理シートで期限まで</t>
    </r>
    <r>
      <rPr>
        <sz val="11"/>
        <color rgb="FF000000"/>
        <rFont val="游ゴシック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日以内の</t>
    </r>
    <r>
      <rPr>
        <sz val="11"/>
        <color rgb="FF000000"/>
        <rFont val="游ゴシック"/>
        <family val="0"/>
        <charset val="1"/>
      </rPr>
      <t xml:space="preserve">ToDo</t>
    </r>
    <r>
      <rPr>
        <sz val="11"/>
        <color rgb="FF000000"/>
        <rFont val="WenQuanYi Zen Hei"/>
        <family val="2"/>
      </rPr>
      <t xml:space="preserve">です。</t>
    </r>
  </si>
  <si>
    <r>
      <rPr>
        <b val="true"/>
        <sz val="11"/>
        <color rgb="FFFFFFFF"/>
        <rFont val="游ゴシック"/>
        <family val="0"/>
        <charset val="1"/>
      </rPr>
      <t xml:space="preserve">ToDo</t>
    </r>
    <r>
      <rPr>
        <b val="true"/>
        <sz val="11"/>
        <color rgb="FFFFFFFF"/>
        <rFont val="WenQuanYi Zen Hei"/>
        <family val="2"/>
      </rPr>
      <t xml:space="preserve">の進捗（アクション管理シートから自動集計）</t>
    </r>
  </si>
  <si>
    <t xml:space="preserve">本日</t>
  </si>
  <si>
    <t xml:space="preserve">件数</t>
  </si>
  <si>
    <t xml:space="preserve">未着手</t>
  </si>
  <si>
    <t xml:space="preserve">対応中</t>
  </si>
  <si>
    <t xml:space="preserve">完了</t>
  </si>
  <si>
    <t xml:space="preserve">期限超過</t>
  </si>
  <si>
    <t xml:space="preserve">件</t>
  </si>
  <si>
    <t xml:space="preserve">おすすめの進め方</t>
  </si>
  <si>
    <t xml:space="preserve">会議前</t>
  </si>
  <si>
    <r>
      <rPr>
        <sz val="11"/>
        <color rgb="FF000000"/>
        <rFont val="WenQuanYi Zen Hei"/>
        <family val="2"/>
      </rPr>
      <t xml:space="preserve">「議事録」シートをコピーし、会議名・日時・出席者とアジェンダ（</t>
    </r>
    <r>
      <rPr>
        <sz val="11"/>
        <color rgb="FF000000"/>
        <rFont val="游ゴシック"/>
        <family val="0"/>
        <charset val="1"/>
      </rPr>
      <t xml:space="preserve">2</t>
    </r>
    <r>
      <rPr>
        <sz val="11"/>
        <color rgb="FF000000"/>
        <rFont val="WenQuanYi Zen Hei"/>
        <family val="2"/>
      </rPr>
      <t xml:space="preserve">）を埋めておきます。ここまで準備できていると会議中の入力がぐっと楽になります。</t>
    </r>
  </si>
  <si>
    <t xml:space="preserve">会議中</t>
  </si>
  <si>
    <r>
      <rPr>
        <sz val="11"/>
        <color rgb="FF000000"/>
        <rFont val="WenQuanYi Zen Hei"/>
        <family val="2"/>
      </rPr>
      <t xml:space="preserve">「</t>
    </r>
    <r>
      <rPr>
        <sz val="11"/>
        <color rgb="FF000000"/>
        <rFont val="游ゴシック"/>
        <family val="0"/>
        <charset val="1"/>
      </rPr>
      <t xml:space="preserve">3. </t>
    </r>
    <r>
      <rPr>
        <sz val="11"/>
        <color rgb="FF000000"/>
        <rFont val="WenQuanYi Zen Hei"/>
        <family val="2"/>
      </rPr>
      <t xml:space="preserve">決定事項」と「</t>
    </r>
    <r>
      <rPr>
        <sz val="11"/>
        <color rgb="FF000000"/>
        <rFont val="游ゴシック"/>
        <family val="0"/>
        <charset val="1"/>
      </rPr>
      <t xml:space="preserve">4. </t>
    </r>
    <r>
      <rPr>
        <sz val="11"/>
        <color rgb="FF000000"/>
        <rFont val="WenQuanYi Zen Hei"/>
        <family val="2"/>
      </rPr>
      <t xml:space="preserve">アクションアイテム」だけをその場で埋めます。議論の詳細は後回しで構いません。</t>
    </r>
  </si>
  <si>
    <t xml:space="preserve">会議直後</t>
  </si>
  <si>
    <r>
      <rPr>
        <sz val="11"/>
        <color rgb="FF000000"/>
        <rFont val="WenQuanYi Zen Hei"/>
        <family val="2"/>
      </rPr>
      <t xml:space="preserve">「</t>
    </r>
    <r>
      <rPr>
        <sz val="11"/>
        <color rgb="FF000000"/>
        <rFont val="游ゴシック"/>
        <family val="0"/>
        <charset val="1"/>
      </rPr>
      <t xml:space="preserve">4. </t>
    </r>
    <r>
      <rPr>
        <sz val="11"/>
        <color rgb="FF000000"/>
        <rFont val="WenQuanYi Zen Hei"/>
        <family val="2"/>
      </rPr>
      <t xml:space="preserve">アクションアイテム」の行をコピーして「アクション管理」シートに貼り付け、会議日と会議名を入れます。</t>
    </r>
  </si>
  <si>
    <t xml:space="preserve">会議後</t>
  </si>
  <si>
    <r>
      <rPr>
        <sz val="11"/>
        <color rgb="FF000000"/>
        <rFont val="WenQuanYi Zen Hei"/>
        <family val="2"/>
      </rPr>
      <t xml:space="preserve">「</t>
    </r>
    <r>
      <rPr>
        <sz val="11"/>
        <color rgb="FF000000"/>
        <rFont val="游ゴシック"/>
        <family val="0"/>
        <charset val="1"/>
      </rPr>
      <t xml:space="preserve">5. </t>
    </r>
    <r>
      <rPr>
        <sz val="11"/>
        <color rgb="FF000000"/>
        <rFont val="WenQuanYi Zen Hei"/>
        <family val="2"/>
      </rPr>
      <t xml:space="preserve">議事内容」を清書し、「会議ログ」シートに</t>
    </r>
    <r>
      <rPr>
        <sz val="11"/>
        <color rgb="FF000000"/>
        <rFont val="游ゴシック"/>
        <family val="0"/>
        <charset val="1"/>
      </rPr>
      <t xml:space="preserve">1</t>
    </r>
    <r>
      <rPr>
        <sz val="11"/>
        <color rgb="FF000000"/>
        <rFont val="WenQuanYi Zen Hei"/>
        <family val="2"/>
      </rPr>
      <t xml:space="preserve">行追加します。共有は</t>
    </r>
    <r>
      <rPr>
        <sz val="11"/>
        <color rgb="FF000000"/>
        <rFont val="游ゴシック"/>
        <family val="0"/>
        <charset val="1"/>
      </rPr>
      <t xml:space="preserve">PDF</t>
    </r>
    <r>
      <rPr>
        <sz val="11"/>
        <color rgb="FF000000"/>
        <rFont val="WenQuanYi Zen Hei"/>
        <family val="2"/>
      </rPr>
      <t xml:space="preserve">（ファイル → エクスポート → </t>
    </r>
    <r>
      <rPr>
        <sz val="11"/>
        <color rgb="FF000000"/>
        <rFont val="游ゴシック"/>
        <family val="0"/>
        <charset val="1"/>
      </rPr>
      <t xml:space="preserve">PDF</t>
    </r>
    <r>
      <rPr>
        <sz val="11"/>
        <color rgb="FF000000"/>
        <rFont val="WenQuanYi Zen Hei"/>
        <family val="2"/>
      </rPr>
      <t xml:space="preserve">）で。</t>
    </r>
  </si>
  <si>
    <t xml:space="preserve">次回まで</t>
  </si>
  <si>
    <t xml:space="preserve">「アクション管理」シートを開き、赤くなっている行から着手します。完了したらステータスを「完了」に変えます。</t>
  </si>
  <si>
    <r>
      <rPr>
        <sz val="9"/>
        <color rgb="FF808080"/>
        <rFont val="WenQuanYi Zen Hei"/>
        <family val="2"/>
      </rPr>
      <t xml:space="preserve">※ 行が足りなくなったら、行番号を右クリック →「挿入」で増やせます。アクション管理シートは</t>
    </r>
    <r>
      <rPr>
        <sz val="9"/>
        <color rgb="FF808080"/>
        <rFont val="游ゴシック"/>
        <family val="0"/>
        <charset val="1"/>
      </rPr>
      <t xml:space="preserve">200</t>
    </r>
    <r>
      <rPr>
        <sz val="9"/>
        <color rgb="FF808080"/>
        <rFont val="WenQuanYi Zen Hei"/>
        <family val="2"/>
      </rPr>
      <t xml:space="preserve">行目まで数式と書式が入っています。</t>
    </r>
  </si>
  <si>
    <t xml:space="preserve">議 事 録</t>
  </si>
  <si>
    <t xml:space="preserve">会議名</t>
  </si>
  <si>
    <t xml:space="preserve">文書番号</t>
  </si>
  <si>
    <t xml:space="preserve">開催日時</t>
  </si>
  <si>
    <t xml:space="preserve">開催場所</t>
  </si>
  <si>
    <t xml:space="preserve">主催・議長</t>
  </si>
  <si>
    <t xml:space="preserve">書記（作成者）</t>
  </si>
  <si>
    <t xml:space="preserve">出席者</t>
  </si>
  <si>
    <t xml:space="preserve">欠席者</t>
  </si>
  <si>
    <t xml:space="preserve">配布先</t>
  </si>
  <si>
    <r>
      <rPr>
        <b val="true"/>
        <sz val="11"/>
        <color rgb="FFFFFFFF"/>
        <rFont val="游ゴシック"/>
        <family val="0"/>
        <charset val="1"/>
      </rPr>
      <t xml:space="preserve">1. </t>
    </r>
    <r>
      <rPr>
        <b val="true"/>
        <sz val="11"/>
        <color rgb="FFFFFFFF"/>
        <rFont val="WenQuanYi Zen Hei"/>
        <family val="2"/>
      </rPr>
      <t xml:space="preserve">会議の目的・ゴール（この会議で何が決まれば成功か）</t>
    </r>
  </si>
  <si>
    <r>
      <rPr>
        <b val="true"/>
        <sz val="11"/>
        <color rgb="FFFFFFFF"/>
        <rFont val="游ゴシック"/>
        <family val="0"/>
        <charset val="1"/>
      </rPr>
      <t xml:space="preserve">2. </t>
    </r>
    <r>
      <rPr>
        <b val="true"/>
        <sz val="11"/>
        <color rgb="FFFFFFFF"/>
        <rFont val="WenQuanYi Zen Hei"/>
        <family val="2"/>
      </rPr>
      <t xml:space="preserve">アジェンダ（議題）</t>
    </r>
  </si>
  <si>
    <t xml:space="preserve">No</t>
  </si>
  <si>
    <t xml:space="preserve">議題</t>
  </si>
  <si>
    <t xml:space="preserve">担当</t>
  </si>
  <si>
    <t xml:space="preserve">予定時間</t>
  </si>
  <si>
    <t xml:space="preserve">資料</t>
  </si>
  <si>
    <r>
      <rPr>
        <b val="true"/>
        <sz val="11"/>
        <color rgb="FFFFFFFF"/>
        <rFont val="游ゴシック"/>
        <family val="0"/>
        <charset val="1"/>
      </rPr>
      <t xml:space="preserve">3. </t>
    </r>
    <r>
      <rPr>
        <b val="true"/>
        <sz val="11"/>
        <color rgb="FFFFFFFF"/>
        <rFont val="WenQuanYi Zen Hei"/>
        <family val="2"/>
      </rPr>
      <t xml:space="preserve">決定事項（決まったことだけを書く）</t>
    </r>
  </si>
  <si>
    <t xml:space="preserve">決定内容</t>
  </si>
  <si>
    <t xml:space="preserve">決定理由・背景</t>
  </si>
  <si>
    <t xml:space="preserve">決定者</t>
  </si>
  <si>
    <t xml:space="preserve">関連資料</t>
  </si>
  <si>
    <t xml:space="preserve">D-1</t>
  </si>
  <si>
    <t xml:space="preserve">D-2</t>
  </si>
  <si>
    <t xml:space="preserve">D-3</t>
  </si>
  <si>
    <t xml:space="preserve">D-4</t>
  </si>
  <si>
    <r>
      <rPr>
        <b val="true"/>
        <sz val="11"/>
        <color rgb="FFFFFFFF"/>
        <rFont val="游ゴシック"/>
        <family val="0"/>
        <charset val="1"/>
      </rPr>
      <t xml:space="preserve">4. </t>
    </r>
    <r>
      <rPr>
        <b val="true"/>
        <sz val="11"/>
        <color rgb="FFFFFFFF"/>
        <rFont val="WenQuanYi Zen Hei"/>
        <family val="2"/>
      </rPr>
      <t xml:space="preserve">アクションアイテム（誰が・何を・いつまでに）</t>
    </r>
  </si>
  <si>
    <t xml:space="preserve">対応内容</t>
  </si>
  <si>
    <t xml:space="preserve">担当者</t>
  </si>
  <si>
    <t xml:space="preserve">期限</t>
  </si>
  <si>
    <t xml:space="preserve">ステータス</t>
  </si>
  <si>
    <t xml:space="preserve">備考</t>
  </si>
  <si>
    <t xml:space="preserve">A-1</t>
  </si>
  <si>
    <t xml:space="preserve">A-2</t>
  </si>
  <si>
    <t xml:space="preserve">A-3</t>
  </si>
  <si>
    <t xml:space="preserve">A-4</t>
  </si>
  <si>
    <t xml:space="preserve">A-5</t>
  </si>
  <si>
    <r>
      <rPr>
        <sz val="9"/>
        <color rgb="FF808080"/>
        <rFont val="WenQuanYi Zen Hei"/>
        <family val="2"/>
      </rPr>
      <t xml:space="preserve">※ 会議後、</t>
    </r>
    <r>
      <rPr>
        <sz val="9"/>
        <color rgb="FF808080"/>
        <rFont val="游ゴシック"/>
        <family val="0"/>
        <charset val="1"/>
      </rPr>
      <t xml:space="preserve">31</t>
    </r>
    <r>
      <rPr>
        <sz val="9"/>
        <color rgb="FF808080"/>
        <rFont val="WenQuanYi Zen Hei"/>
        <family val="2"/>
      </rPr>
      <t xml:space="preserve">〜</t>
    </r>
    <r>
      <rPr>
        <sz val="9"/>
        <color rgb="FF808080"/>
        <rFont val="游ゴシック"/>
        <family val="0"/>
        <charset val="1"/>
      </rPr>
      <t xml:space="preserve">35</t>
    </r>
    <r>
      <rPr>
        <sz val="9"/>
        <color rgb="FF808080"/>
        <rFont val="WenQuanYi Zen Hei"/>
        <family val="2"/>
      </rPr>
      <t xml:space="preserve">行目をコピーして「アクション管理」シートに貼り付けると進捗を追えます。</t>
    </r>
  </si>
  <si>
    <r>
      <rPr>
        <b val="true"/>
        <sz val="11"/>
        <color rgb="FFFFFFFF"/>
        <rFont val="游ゴシック"/>
        <family val="0"/>
        <charset val="1"/>
      </rPr>
      <t xml:space="preserve">5. </t>
    </r>
    <r>
      <rPr>
        <b val="true"/>
        <sz val="11"/>
        <color rgb="FFFFFFFF"/>
        <rFont val="WenQuanYi Zen Hei"/>
        <family val="2"/>
      </rPr>
      <t xml:space="preserve">議事内容（議論の要点と結論）</t>
    </r>
  </si>
  <si>
    <r>
      <rPr>
        <b val="true"/>
        <sz val="10"/>
        <color rgb="FF000000"/>
        <rFont val="WenQuanYi Zen Hei"/>
        <family val="2"/>
      </rPr>
      <t xml:space="preserve">議題</t>
    </r>
    <r>
      <rPr>
        <b val="true"/>
        <sz val="10"/>
        <color rgb="FF000000"/>
        <rFont val="游ゴシック"/>
        <family val="0"/>
        <charset val="1"/>
      </rPr>
      <t xml:space="preserve">1</t>
    </r>
  </si>
  <si>
    <t xml:space="preserve">議論の要点</t>
  </si>
  <si>
    <t xml:space="preserve">結論</t>
  </si>
  <si>
    <r>
      <rPr>
        <b val="true"/>
        <sz val="10"/>
        <color rgb="FF000000"/>
        <rFont val="WenQuanYi Zen Hei"/>
        <family val="2"/>
      </rPr>
      <t xml:space="preserve">議題</t>
    </r>
    <r>
      <rPr>
        <b val="true"/>
        <sz val="10"/>
        <color rgb="FF000000"/>
        <rFont val="游ゴシック"/>
        <family val="0"/>
        <charset val="1"/>
      </rPr>
      <t xml:space="preserve">2</t>
    </r>
  </si>
  <si>
    <r>
      <rPr>
        <b val="true"/>
        <sz val="10"/>
        <color rgb="FF000000"/>
        <rFont val="WenQuanYi Zen Hei"/>
        <family val="2"/>
      </rPr>
      <t xml:space="preserve">議題</t>
    </r>
    <r>
      <rPr>
        <b val="true"/>
        <sz val="10"/>
        <color rgb="FF000000"/>
        <rFont val="游ゴシック"/>
        <family val="0"/>
        <charset val="1"/>
      </rPr>
      <t xml:space="preserve">3</t>
    </r>
  </si>
  <si>
    <r>
      <rPr>
        <b val="true"/>
        <sz val="11"/>
        <color rgb="FFFFFFFF"/>
        <rFont val="游ゴシック"/>
        <family val="0"/>
        <charset val="1"/>
      </rPr>
      <t xml:space="preserve">6. </t>
    </r>
    <r>
      <rPr>
        <b val="true"/>
        <sz val="11"/>
        <color rgb="FFFFFFFF"/>
        <rFont val="WenQuanYi Zen Hei"/>
        <family val="2"/>
      </rPr>
      <t xml:space="preserve">保留・継続検討事項（決まらなかったこと）</t>
    </r>
  </si>
  <si>
    <t xml:space="preserve">内容</t>
  </si>
  <si>
    <t xml:space="preserve">保留の理由</t>
  </si>
  <si>
    <t xml:space="preserve">再検討の時期</t>
  </si>
  <si>
    <t xml:space="preserve">P-1</t>
  </si>
  <si>
    <t xml:space="preserve">P-2</t>
  </si>
  <si>
    <t xml:space="preserve">P-3</t>
  </si>
  <si>
    <r>
      <rPr>
        <b val="true"/>
        <sz val="11"/>
        <color rgb="FFFFFFFF"/>
        <rFont val="游ゴシック"/>
        <family val="0"/>
        <charset val="1"/>
      </rPr>
      <t xml:space="preserve">7. </t>
    </r>
    <r>
      <rPr>
        <b val="true"/>
        <sz val="11"/>
        <color rgb="FFFFFFFF"/>
        <rFont val="WenQuanYi Zen Hei"/>
        <family val="2"/>
      </rPr>
      <t xml:space="preserve">次回会議の予定</t>
    </r>
  </si>
  <si>
    <t xml:space="preserve">日時</t>
  </si>
  <si>
    <t xml:space="preserve">場所</t>
  </si>
  <si>
    <t xml:space="preserve">主な議題</t>
  </si>
  <si>
    <t xml:space="preserve">事前準備</t>
  </si>
  <si>
    <t xml:space="preserve">会議日</t>
  </si>
  <si>
    <t xml:space="preserve">アクション内容</t>
  </si>
  <si>
    <t xml:space="preserve">残日数</t>
  </si>
  <si>
    <t xml:space="preserve">完了日</t>
  </si>
  <si>
    <t xml:space="preserve">営業定例</t>
  </si>
  <si>
    <r>
      <rPr>
        <sz val="11"/>
        <color rgb="FF000000"/>
        <rFont val="WenQuanYi Zen Hei"/>
        <family val="2"/>
      </rPr>
      <t xml:space="preserve">新プランの価格案を</t>
    </r>
    <r>
      <rPr>
        <sz val="11"/>
        <color rgb="FF000000"/>
        <rFont val="游ゴシック"/>
        <family val="0"/>
        <charset val="1"/>
      </rPr>
      <t xml:space="preserve">3</t>
    </r>
    <r>
      <rPr>
        <sz val="11"/>
        <color rgb="FF000000"/>
        <rFont val="WenQuanYi Zen Hei"/>
        <family val="2"/>
      </rPr>
      <t xml:space="preserve">パターン作成する</t>
    </r>
  </si>
  <si>
    <t xml:space="preserve">山田</t>
  </si>
  <si>
    <t xml:space="preserve">←記入例です。行ごと削除して使ってください</t>
  </si>
  <si>
    <t xml:space="preserve">開催日</t>
  </si>
  <si>
    <t xml:space="preserve">主催</t>
  </si>
  <si>
    <t xml:space="preserve">出席人数</t>
  </si>
  <si>
    <t xml:space="preserve">決定事項数</t>
  </si>
  <si>
    <r>
      <rPr>
        <b val="true"/>
        <sz val="10"/>
        <color rgb="FFFFFFFF"/>
        <rFont val="游ゴシック"/>
        <family val="0"/>
        <charset val="1"/>
      </rPr>
      <t xml:space="preserve">ToDo</t>
    </r>
    <r>
      <rPr>
        <b val="true"/>
        <sz val="10"/>
        <color rgb="FFFFFFFF"/>
        <rFont val="WenQuanYi Zen Hei"/>
        <family val="2"/>
      </rPr>
      <t xml:space="preserve">件数</t>
    </r>
  </si>
  <si>
    <t xml:space="preserve">未完了</t>
  </si>
  <si>
    <t xml:space="preserve">議事録の保存先</t>
  </si>
  <si>
    <t xml:space="preserve">田中</t>
  </si>
  <si>
    <r>
      <rPr>
        <sz val="11"/>
        <color rgb="FF000000"/>
        <rFont val="游ゴシック"/>
        <family val="0"/>
        <charset val="1"/>
      </rPr>
      <t xml:space="preserve">20260918_</t>
    </r>
    <r>
      <rPr>
        <sz val="11"/>
        <color rgb="FF000000"/>
        <rFont val="WenQuanYi Zen Hei"/>
        <family val="2"/>
      </rPr>
      <t xml:space="preserve">営業定例</t>
    </r>
    <r>
      <rPr>
        <sz val="11"/>
        <color rgb="FF000000"/>
        <rFont val="游ゴシック"/>
        <family val="0"/>
        <charset val="1"/>
      </rPr>
      <t xml:space="preserve">_</t>
    </r>
    <r>
      <rPr>
        <sz val="11"/>
        <color rgb="FF000000"/>
        <rFont val="WenQuanYi Zen Hei"/>
        <family val="2"/>
      </rPr>
      <t xml:space="preserve">議事録</t>
    </r>
    <r>
      <rPr>
        <sz val="11"/>
        <color rgb="FF000000"/>
        <rFont val="游ゴシック"/>
        <family val="0"/>
        <charset val="1"/>
      </rPr>
      <t xml:space="preserve">.docx</t>
    </r>
  </si>
  <si>
    <t xml:space="preserve">メモ</t>
  </si>
  <si>
    <t xml:space="preserve">まだ手をつけていない</t>
  </si>
  <si>
    <t xml:space="preserve">着手済み</t>
  </si>
  <si>
    <t xml:space="preserve">完了（集計から除外されます）</t>
  </si>
  <si>
    <t xml:space="preserve">保留</t>
  </si>
  <si>
    <t xml:space="preserve">事情があって止めている</t>
  </si>
  <si>
    <t xml:space="preserve">中止</t>
  </si>
  <si>
    <t xml:space="preserve">やらないことにした（集計から除外されます）</t>
  </si>
  <si>
    <r>
      <rPr>
        <sz val="9"/>
        <color rgb="FF808080"/>
        <rFont val="WenQuanYi Zen Hei"/>
        <family val="2"/>
      </rPr>
      <t xml:space="preserve">※ この</t>
    </r>
    <r>
      <rPr>
        <sz val="9"/>
        <color rgb="FF808080"/>
        <rFont val="游ゴシック"/>
        <family val="0"/>
        <charset val="1"/>
      </rPr>
      <t xml:space="preserve">5</t>
    </r>
    <r>
      <rPr>
        <sz val="9"/>
        <color rgb="FF808080"/>
        <rFont val="WenQuanYi Zen Hei"/>
        <family val="2"/>
      </rPr>
      <t xml:space="preserve">つが「議事録」「アクション管理」シートのプルダウンの選択肢です。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</si>
</sst>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1]yyyy/mm/dd\（AAA\）"/>
    <numFmt numFmtId="166" formatCode="General"/>
    <numFmt numFmtId="167" formatCode="@"/>
    <numFmt numFmtId="168" formatCode="yyyy/mm/dd"/>
    <numFmt numFmtId="169" formatCode="0\日;0&quot;日超過&quot;;&quot;当日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B63"/>
      <name val="WenQuanYi Zen Hei"/>
      <family val="2"/>
    </font>
    <font>
      <b val="true"/>
      <sz val="18"/>
      <color rgb="FF1F3B63"/>
      <name val="游ゴシック"/>
      <family val="0"/>
      <charset val="1"/>
    </font>
    <font>
      <sz val="10"/>
      <color rgb="FF555555"/>
      <name val="WenQuanYi Zen Hei"/>
      <family val="2"/>
    </font>
    <font>
      <sz val="10"/>
      <color rgb="FF555555"/>
      <name val="游ゴシック"/>
      <family val="0"/>
      <charset val="1"/>
    </font>
    <font>
      <b val="true"/>
      <sz val="11"/>
      <color rgb="FFFFFFFF"/>
      <name val="WenQuanYi Zen Hei"/>
      <family val="2"/>
    </font>
    <font>
      <b val="true"/>
      <sz val="10"/>
      <color rgb="FF000000"/>
      <name val="WenQuanYi Zen Hei"/>
      <family val="2"/>
    </font>
    <font>
      <sz val="11"/>
      <color rgb="FF000000"/>
      <name val="游ゴシック"/>
      <family val="0"/>
      <charset val="1"/>
    </font>
    <font>
      <sz val="11"/>
      <color rgb="FF000000"/>
      <name val="WenQuanYi Zen Hei"/>
      <family val="2"/>
    </font>
    <font>
      <b val="true"/>
      <sz val="11"/>
      <color rgb="FFFFFFFF"/>
      <name val="游ゴシック"/>
      <family val="0"/>
      <charset val="1"/>
    </font>
    <font>
      <b val="true"/>
      <sz val="14"/>
      <color rgb="FF000000"/>
      <name val="游ゴシック"/>
      <family val="0"/>
      <charset val="1"/>
    </font>
    <font>
      <b val="true"/>
      <sz val="14"/>
      <color rgb="FFC00000"/>
      <name val="游ゴシック"/>
      <family val="0"/>
      <charset val="1"/>
    </font>
    <font>
      <sz val="9"/>
      <color rgb="FF808080"/>
      <name val="WenQuanYi Zen Hei"/>
      <family val="2"/>
    </font>
    <font>
      <sz val="9"/>
      <color rgb="FF808080"/>
      <name val="游ゴシック"/>
      <family val="0"/>
      <charset val="1"/>
    </font>
    <font>
      <b val="true"/>
      <sz val="20"/>
      <color rgb="FF1F3B63"/>
      <name val="WenQuanYi Zen Hei"/>
      <family val="2"/>
    </font>
    <font>
      <b val="true"/>
      <sz val="10"/>
      <color rgb="FF000000"/>
      <name val="游ゴシック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游ゴシック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B63"/>
        <bgColor rgb="FF333333"/>
      </patternFill>
    </fill>
    <fill>
      <patternFill patternType="solid">
        <fgColor rgb="FFDCE6F1"/>
        <bgColor rgb="FFEDEDED"/>
      </patternFill>
    </fill>
    <fill>
      <patternFill patternType="solid">
        <fgColor rgb="FFF2F2F2"/>
        <bgColor rgb="FFEDEDED"/>
      </patternFill>
    </fill>
    <fill>
      <patternFill patternType="solid">
        <fgColor rgb="FFFFFBE6"/>
        <bgColor rgb="FFFFFFFF"/>
      </patternFill>
    </fill>
    <fill>
      <patternFill patternType="solid">
        <fgColor rgb="FFEDEDED"/>
        <bgColor rgb="FFEAF3EA"/>
      </patternFill>
    </fill>
    <fill>
      <patternFill patternType="solid">
        <fgColor rgb="FFEAF3EA"/>
        <bgColor rgb="FFEDEDED"/>
      </patternFill>
    </fill>
    <fill>
      <patternFill patternType="solid">
        <fgColor rgb="FFFFD9D9"/>
        <bgColor rgb="FFEDEDED"/>
      </patternFill>
    </fill>
    <fill>
      <patternFill patternType="solid">
        <fgColor rgb="FFFFF2CC"/>
        <bgColor rgb="FFFFFB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B63"/>
          <bgColor rgb="FF000000"/>
        </patternFill>
      </fill>
    </dxf>
    <dxf>
      <fill>
        <patternFill patternType="solid">
          <fgColor rgb="FFEAF3EA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FFD9D9"/>
        </patternFill>
      </fill>
    </dxf>
    <dxf>
      <fill>
        <patternFill>
          <bgColor rgb="FFFFF2CC"/>
        </patternFill>
      </fill>
    </dxf>
    <dxf>
      <font>
        <name val="游ゴシック"/>
        <charset val="1"/>
        <family val="0"/>
        <color rgb="FF909090"/>
        <sz val="11"/>
      </font>
      <fill>
        <patternFill>
          <bgColor rgb="FFEDEDE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BE6"/>
      <rgbColor rgb="FFEAF3EA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DEDED"/>
      <rgbColor rgb="FFFFF2CC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555555"/>
      <rgbColor rgb="FF909090"/>
      <rgbColor rgb="FF1F3B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6" min="4" style="0" width="14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F5" s="3"/>
    </row>
    <row r="6" customFormat="false" ht="15" hidden="false" customHeight="true" outlineLevel="0" collapsed="false">
      <c r="B6" s="4" t="s">
        <v>3</v>
      </c>
      <c r="C6" s="4" t="s">
        <v>4</v>
      </c>
      <c r="D6" s="4"/>
      <c r="E6" s="4"/>
      <c r="F6" s="4"/>
    </row>
    <row r="7" customFormat="false" ht="33.75" hidden="false" customHeight="true" outlineLevel="0" collapsed="false">
      <c r="B7" s="5" t="s">
        <v>5</v>
      </c>
      <c r="C7" s="6" t="s">
        <v>6</v>
      </c>
      <c r="D7" s="6"/>
      <c r="E7" s="6"/>
      <c r="F7" s="6"/>
    </row>
    <row r="8" customFormat="false" ht="33.75" hidden="false" customHeight="true" outlineLevel="0" collapsed="false">
      <c r="B8" s="5" t="s">
        <v>7</v>
      </c>
      <c r="C8" s="7" t="s">
        <v>8</v>
      </c>
      <c r="D8" s="7"/>
      <c r="E8" s="7"/>
      <c r="F8" s="7"/>
    </row>
    <row r="9" customFormat="false" ht="33.75" hidden="false" customHeight="true" outlineLevel="0" collapsed="false">
      <c r="B9" s="5" t="s">
        <v>9</v>
      </c>
      <c r="C9" s="7" t="s">
        <v>10</v>
      </c>
      <c r="D9" s="7"/>
      <c r="E9" s="7"/>
      <c r="F9" s="7"/>
    </row>
    <row r="10" customFormat="false" ht="33.75" hidden="false" customHeight="true" outlineLevel="0" collapsed="false">
      <c r="B10" s="5" t="s">
        <v>11</v>
      </c>
      <c r="C10" s="7" t="s">
        <v>12</v>
      </c>
      <c r="D10" s="7"/>
      <c r="E10" s="7"/>
      <c r="F10" s="7"/>
    </row>
    <row r="12" customFormat="false" ht="21.75" hidden="false" customHeight="true" outlineLevel="0" collapsed="false">
      <c r="B12" s="3" t="s">
        <v>13</v>
      </c>
      <c r="C12" s="3"/>
      <c r="D12" s="3"/>
      <c r="E12" s="3"/>
      <c r="F12" s="3"/>
    </row>
    <row r="13" customFormat="false" ht="19.5" hidden="false" customHeight="true" outlineLevel="0" collapsed="false">
      <c r="B13" s="8" t="s">
        <v>14</v>
      </c>
      <c r="C13" s="7" t="s">
        <v>15</v>
      </c>
      <c r="D13" s="7"/>
      <c r="E13" s="7"/>
      <c r="F13" s="7"/>
    </row>
    <row r="14" customFormat="false" ht="19.5" hidden="false" customHeight="true" outlineLevel="0" collapsed="false">
      <c r="B14" s="9" t="s">
        <v>16</v>
      </c>
      <c r="C14" s="7" t="s">
        <v>17</v>
      </c>
      <c r="D14" s="7"/>
      <c r="E14" s="7"/>
      <c r="F14" s="7"/>
    </row>
    <row r="15" customFormat="false" ht="19.5" hidden="false" customHeight="true" outlineLevel="0" collapsed="false">
      <c r="B15" s="10" t="s">
        <v>18</v>
      </c>
      <c r="C15" s="7" t="s">
        <v>19</v>
      </c>
      <c r="D15" s="7"/>
      <c r="E15" s="7"/>
      <c r="F15" s="7"/>
    </row>
    <row r="16" customFormat="false" ht="19.5" hidden="false" customHeight="true" outlineLevel="0" collapsed="false">
      <c r="B16" s="11" t="s">
        <v>20</v>
      </c>
      <c r="C16" s="7" t="s">
        <v>21</v>
      </c>
      <c r="D16" s="7"/>
      <c r="E16" s="7"/>
      <c r="F16" s="7"/>
    </row>
    <row r="17" customFormat="false" ht="19.5" hidden="false" customHeight="true" outlineLevel="0" collapsed="false">
      <c r="B17" s="12" t="s">
        <v>22</v>
      </c>
      <c r="C17" s="7" t="s">
        <v>23</v>
      </c>
      <c r="D17" s="7"/>
      <c r="E17" s="7"/>
      <c r="F17" s="7"/>
    </row>
    <row r="19" customFormat="false" ht="21.75" hidden="false" customHeight="true" outlineLevel="0" collapsed="false">
      <c r="B19" s="13" t="s">
        <v>24</v>
      </c>
      <c r="C19" s="13"/>
      <c r="D19" s="13"/>
      <c r="E19" s="13"/>
      <c r="F19" s="13"/>
    </row>
    <row r="20" customFormat="false" ht="15" hidden="false" customHeight="false" outlineLevel="0" collapsed="false">
      <c r="B20" s="14" t="s">
        <v>25</v>
      </c>
      <c r="C20" s="15" t="n">
        <f aca="true">TODAY()</f>
        <v>46283</v>
      </c>
    </row>
    <row r="22" customFormat="false" ht="15" hidden="false" customHeight="false" outlineLevel="0" collapsed="false">
      <c r="B22" s="4" t="s">
        <v>26</v>
      </c>
      <c r="C22" s="4" t="s">
        <v>27</v>
      </c>
      <c r="D22" s="4" t="s">
        <v>28</v>
      </c>
      <c r="E22" s="4" t="s">
        <v>29</v>
      </c>
      <c r="F22" s="4" t="s">
        <v>30</v>
      </c>
    </row>
    <row r="23" customFormat="false" ht="25.5" hidden="false" customHeight="true" outlineLevel="0" collapsed="false">
      <c r="B23" s="14" t="s">
        <v>31</v>
      </c>
      <c r="C23" s="16" t="n">
        <f aca="false">COUNTIF(アクション管理!$G$2:$G$201,"未着手")</f>
        <v>0</v>
      </c>
      <c r="D23" s="16" t="n">
        <f aca="false">COUNTIF(アクション管理!$G$2:$G$201,"対応中")</f>
        <v>1</v>
      </c>
      <c r="E23" s="16" t="n">
        <f aca="false">COUNTIF(アクション管理!$G$2:$G$201,"完了")</f>
        <v>0</v>
      </c>
      <c r="F23" s="17" t="n">
        <f aca="true">SUMPRODUCT((アクション管理!$D$2:$D$201&lt;&gt;"")*(アクション管理!$F$2:$F$201&lt;&gt;"")*(アクション管理!$F$2:$F$201&lt;TODAY())*(アクション管理!$G$2:$G$201&lt;&gt;"完了")*(アクション管理!$G$2:$G$201&lt;&gt;"中止"))</f>
        <v>0</v>
      </c>
    </row>
    <row r="25" customFormat="false" ht="21.75" hidden="false" customHeight="true" outlineLevel="0" collapsed="false">
      <c r="B25" s="3" t="s">
        <v>32</v>
      </c>
      <c r="C25" s="3"/>
      <c r="D25" s="3"/>
      <c r="E25" s="3"/>
      <c r="F25" s="3"/>
    </row>
    <row r="26" customFormat="false" ht="33.75" hidden="false" customHeight="true" outlineLevel="0" collapsed="false">
      <c r="B26" s="14" t="s">
        <v>33</v>
      </c>
      <c r="C26" s="7" t="s">
        <v>34</v>
      </c>
      <c r="D26" s="7"/>
      <c r="E26" s="7"/>
      <c r="F26" s="7"/>
    </row>
    <row r="27" customFormat="false" ht="33.75" hidden="false" customHeight="true" outlineLevel="0" collapsed="false">
      <c r="B27" s="14" t="s">
        <v>35</v>
      </c>
      <c r="C27" s="7" t="s">
        <v>36</v>
      </c>
      <c r="D27" s="7"/>
      <c r="E27" s="7"/>
      <c r="F27" s="7"/>
    </row>
    <row r="28" customFormat="false" ht="33.75" hidden="false" customHeight="true" outlineLevel="0" collapsed="false">
      <c r="B28" s="14" t="s">
        <v>37</v>
      </c>
      <c r="C28" s="7" t="s">
        <v>38</v>
      </c>
      <c r="D28" s="7"/>
      <c r="E28" s="7"/>
      <c r="F28" s="7"/>
    </row>
    <row r="29" customFormat="false" ht="33.75" hidden="false" customHeight="true" outlineLevel="0" collapsed="false">
      <c r="B29" s="14" t="s">
        <v>39</v>
      </c>
      <c r="C29" s="7" t="s">
        <v>40</v>
      </c>
      <c r="D29" s="7"/>
      <c r="E29" s="7"/>
      <c r="F29" s="7"/>
    </row>
    <row r="30" customFormat="false" ht="33.75" hidden="false" customHeight="true" outlineLevel="0" collapsed="false">
      <c r="B30" s="14" t="s">
        <v>41</v>
      </c>
      <c r="C30" s="7" t="s">
        <v>42</v>
      </c>
      <c r="D30" s="7"/>
      <c r="E30" s="7"/>
      <c r="F30" s="7"/>
    </row>
    <row r="32" customFormat="false" ht="15" hidden="false" customHeight="true" outlineLevel="0" collapsed="false">
      <c r="B32" s="18" t="s">
        <v>43</v>
      </c>
      <c r="C32" s="18"/>
      <c r="D32" s="18"/>
      <c r="E32" s="18"/>
      <c r="F32" s="18"/>
    </row>
  </sheetData>
  <mergeCells count="22">
    <mergeCell ref="B2:F2"/>
    <mergeCell ref="B3:F3"/>
    <mergeCell ref="B5:F5"/>
    <mergeCell ref="C6:F6"/>
    <mergeCell ref="C7:F7"/>
    <mergeCell ref="C8:F8"/>
    <mergeCell ref="C9:F9"/>
    <mergeCell ref="C10:F10"/>
    <mergeCell ref="B12:F12"/>
    <mergeCell ref="C13:F13"/>
    <mergeCell ref="C14:F14"/>
    <mergeCell ref="C15:F15"/>
    <mergeCell ref="C16:F16"/>
    <mergeCell ref="C17:F17"/>
    <mergeCell ref="B19:F19"/>
    <mergeCell ref="B25:F25"/>
    <mergeCell ref="C26:F26"/>
    <mergeCell ref="C27:F27"/>
    <mergeCell ref="C28:F28"/>
    <mergeCell ref="C29:F29"/>
    <mergeCell ref="C30:F30"/>
    <mergeCell ref="B32:F3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2" customFormat="false" ht="31.5" hidden="false" customHeight="true" outlineLevel="0" collapsed="false">
      <c r="B2" s="19" t="s">
        <v>44</v>
      </c>
      <c r="C2" s="19"/>
      <c r="D2" s="19"/>
      <c r="E2" s="19"/>
      <c r="F2" s="19"/>
      <c r="G2" s="19"/>
    </row>
    <row r="4" customFormat="false" ht="19.5" hidden="false" customHeight="true" outlineLevel="0" collapsed="false">
      <c r="B4" s="5" t="s">
        <v>45</v>
      </c>
      <c r="C4" s="20"/>
      <c r="D4" s="20"/>
      <c r="E4" s="5" t="s">
        <v>46</v>
      </c>
      <c r="F4" s="20"/>
      <c r="G4" s="20"/>
    </row>
    <row r="5" customFormat="false" ht="19.5" hidden="false" customHeight="true" outlineLevel="0" collapsed="false">
      <c r="B5" s="5" t="s">
        <v>47</v>
      </c>
      <c r="C5" s="21"/>
      <c r="D5" s="21"/>
      <c r="E5" s="5" t="s">
        <v>48</v>
      </c>
      <c r="F5" s="20"/>
      <c r="G5" s="20"/>
    </row>
    <row r="6" customFormat="false" ht="19.5" hidden="false" customHeight="true" outlineLevel="0" collapsed="false">
      <c r="B6" s="5" t="s">
        <v>49</v>
      </c>
      <c r="C6" s="20"/>
      <c r="D6" s="20"/>
      <c r="E6" s="5" t="s">
        <v>50</v>
      </c>
      <c r="F6" s="20"/>
      <c r="G6" s="20"/>
    </row>
    <row r="7" customFormat="false" ht="19.5" hidden="false" customHeight="true" outlineLevel="0" collapsed="false">
      <c r="B7" s="5" t="s">
        <v>51</v>
      </c>
      <c r="C7" s="20"/>
      <c r="D7" s="20"/>
      <c r="E7" s="20"/>
      <c r="F7" s="20"/>
      <c r="G7" s="20"/>
    </row>
    <row r="8" customFormat="false" ht="19.5" hidden="false" customHeight="true" outlineLevel="0" collapsed="false">
      <c r="B8" s="5" t="s">
        <v>52</v>
      </c>
      <c r="C8" s="20"/>
      <c r="D8" s="20"/>
      <c r="E8" s="20"/>
      <c r="F8" s="20"/>
      <c r="G8" s="20"/>
    </row>
    <row r="9" customFormat="false" ht="19.5" hidden="false" customHeight="true" outlineLevel="0" collapsed="false">
      <c r="B9" s="5" t="s">
        <v>53</v>
      </c>
      <c r="C9" s="20"/>
      <c r="D9" s="20"/>
      <c r="E9" s="20"/>
      <c r="F9" s="20"/>
      <c r="G9" s="20"/>
    </row>
    <row r="11" customFormat="false" ht="21.75" hidden="false" customHeight="true" outlineLevel="0" collapsed="false">
      <c r="B11" s="13" t="s">
        <v>54</v>
      </c>
      <c r="C11" s="13"/>
      <c r="D11" s="13"/>
      <c r="E11" s="13"/>
      <c r="F11" s="13"/>
      <c r="G11" s="13"/>
    </row>
    <row r="12" customFormat="false" ht="15" hidden="false" customHeight="false" outlineLevel="0" collapsed="false">
      <c r="B12" s="22"/>
      <c r="C12" s="22"/>
      <c r="D12" s="22"/>
      <c r="E12" s="22"/>
      <c r="F12" s="22"/>
      <c r="G12" s="22"/>
    </row>
    <row r="13" customFormat="false" ht="15" hidden="false" customHeight="false" outlineLevel="0" collapsed="false">
      <c r="B13" s="22"/>
      <c r="C13" s="22"/>
      <c r="D13" s="22"/>
      <c r="E13" s="22"/>
      <c r="F13" s="22"/>
      <c r="G13" s="22"/>
    </row>
    <row r="15" customFormat="false" ht="21.75" hidden="false" customHeight="true" outlineLevel="0" collapsed="false">
      <c r="B15" s="13" t="s">
        <v>55</v>
      </c>
      <c r="C15" s="13"/>
      <c r="D15" s="13"/>
      <c r="E15" s="13"/>
      <c r="F15" s="13"/>
      <c r="G15" s="13"/>
    </row>
    <row r="16" customFormat="false" ht="15" hidden="false" customHeight="true" outlineLevel="0" collapsed="false">
      <c r="B16" s="23" t="s">
        <v>56</v>
      </c>
      <c r="C16" s="4" t="s">
        <v>57</v>
      </c>
      <c r="D16" s="4" t="s">
        <v>58</v>
      </c>
      <c r="E16" s="4" t="s">
        <v>59</v>
      </c>
      <c r="F16" s="4" t="s">
        <v>60</v>
      </c>
      <c r="G16" s="4"/>
    </row>
    <row r="17" customFormat="false" ht="19.5" hidden="false" customHeight="true" outlineLevel="0" collapsed="false">
      <c r="B17" s="24" t="n">
        <v>1</v>
      </c>
      <c r="C17" s="20"/>
      <c r="D17" s="20"/>
      <c r="E17" s="20"/>
      <c r="F17" s="20"/>
      <c r="G17" s="20"/>
    </row>
    <row r="18" customFormat="false" ht="19.5" hidden="false" customHeight="true" outlineLevel="0" collapsed="false">
      <c r="B18" s="24" t="n">
        <v>2</v>
      </c>
      <c r="C18" s="20"/>
      <c r="D18" s="20"/>
      <c r="E18" s="20"/>
      <c r="F18" s="20"/>
      <c r="G18" s="20"/>
    </row>
    <row r="19" customFormat="false" ht="19.5" hidden="false" customHeight="true" outlineLevel="0" collapsed="false">
      <c r="B19" s="24" t="n">
        <v>3</v>
      </c>
      <c r="C19" s="20"/>
      <c r="D19" s="20"/>
      <c r="E19" s="20"/>
      <c r="F19" s="20"/>
      <c r="G19" s="20"/>
    </row>
    <row r="20" customFormat="false" ht="19.5" hidden="false" customHeight="true" outlineLevel="0" collapsed="false">
      <c r="B20" s="24" t="n">
        <v>4</v>
      </c>
      <c r="C20" s="20"/>
      <c r="D20" s="20"/>
      <c r="E20" s="20"/>
      <c r="F20" s="20"/>
      <c r="G20" s="20"/>
    </row>
    <row r="22" customFormat="false" ht="21.75" hidden="false" customHeight="true" outlineLevel="0" collapsed="false">
      <c r="B22" s="13" t="s">
        <v>61</v>
      </c>
      <c r="C22" s="13"/>
      <c r="D22" s="13"/>
      <c r="E22" s="13"/>
      <c r="F22" s="13"/>
      <c r="G22" s="13"/>
    </row>
    <row r="23" customFormat="false" ht="15" hidden="false" customHeight="true" outlineLevel="0" collapsed="false">
      <c r="B23" s="23" t="s">
        <v>56</v>
      </c>
      <c r="C23" s="4" t="s">
        <v>62</v>
      </c>
      <c r="D23" s="4" t="s">
        <v>63</v>
      </c>
      <c r="E23" s="4"/>
      <c r="F23" s="4" t="s">
        <v>64</v>
      </c>
      <c r="G23" s="4" t="s">
        <v>65</v>
      </c>
    </row>
    <row r="24" customFormat="false" ht="24" hidden="false" customHeight="true" outlineLevel="0" collapsed="false">
      <c r="B24" s="24" t="s">
        <v>66</v>
      </c>
      <c r="C24" s="20"/>
      <c r="D24" s="20"/>
      <c r="E24" s="20"/>
      <c r="F24" s="20"/>
      <c r="G24" s="20"/>
    </row>
    <row r="25" customFormat="false" ht="24" hidden="false" customHeight="true" outlineLevel="0" collapsed="false">
      <c r="B25" s="24" t="s">
        <v>67</v>
      </c>
      <c r="C25" s="20"/>
      <c r="D25" s="20"/>
      <c r="E25" s="20"/>
      <c r="F25" s="20"/>
      <c r="G25" s="20"/>
    </row>
    <row r="26" customFormat="false" ht="24" hidden="false" customHeight="true" outlineLevel="0" collapsed="false">
      <c r="B26" s="24" t="s">
        <v>68</v>
      </c>
      <c r="C26" s="20"/>
      <c r="D26" s="20"/>
      <c r="E26" s="20"/>
      <c r="F26" s="20"/>
      <c r="G26" s="20"/>
    </row>
    <row r="27" customFormat="false" ht="24" hidden="false" customHeight="true" outlineLevel="0" collapsed="false">
      <c r="B27" s="24" t="s">
        <v>69</v>
      </c>
      <c r="C27" s="20"/>
      <c r="D27" s="20"/>
      <c r="E27" s="20"/>
      <c r="F27" s="20"/>
      <c r="G27" s="20"/>
    </row>
    <row r="29" customFormat="false" ht="21.75" hidden="false" customHeight="true" outlineLevel="0" collapsed="false">
      <c r="B29" s="13" t="s">
        <v>70</v>
      </c>
      <c r="C29" s="13"/>
      <c r="D29" s="13"/>
      <c r="E29" s="13"/>
      <c r="F29" s="13"/>
      <c r="G29" s="13"/>
    </row>
    <row r="30" customFormat="false" ht="15" hidden="false" customHeight="false" outlineLevel="0" collapsed="false">
      <c r="B30" s="23" t="s">
        <v>56</v>
      </c>
      <c r="C30" s="4" t="s">
        <v>71</v>
      </c>
      <c r="D30" s="4" t="s">
        <v>72</v>
      </c>
      <c r="E30" s="4" t="s">
        <v>73</v>
      </c>
      <c r="F30" s="4" t="s">
        <v>74</v>
      </c>
      <c r="G30" s="4" t="s">
        <v>75</v>
      </c>
    </row>
    <row r="31" customFormat="false" ht="24" hidden="false" customHeight="true" outlineLevel="0" collapsed="false">
      <c r="B31" s="24" t="s">
        <v>76</v>
      </c>
      <c r="C31" s="20"/>
      <c r="D31" s="20"/>
      <c r="E31" s="25"/>
      <c r="F31" s="24"/>
      <c r="G31" s="20"/>
    </row>
    <row r="32" customFormat="false" ht="24" hidden="false" customHeight="true" outlineLevel="0" collapsed="false">
      <c r="B32" s="24" t="s">
        <v>77</v>
      </c>
      <c r="C32" s="20"/>
      <c r="D32" s="20"/>
      <c r="E32" s="25"/>
      <c r="F32" s="24"/>
      <c r="G32" s="20"/>
    </row>
    <row r="33" customFormat="false" ht="24" hidden="false" customHeight="true" outlineLevel="0" collapsed="false">
      <c r="B33" s="24" t="s">
        <v>78</v>
      </c>
      <c r="C33" s="20"/>
      <c r="D33" s="20"/>
      <c r="E33" s="25"/>
      <c r="F33" s="24"/>
      <c r="G33" s="20"/>
    </row>
    <row r="34" customFormat="false" ht="24" hidden="false" customHeight="true" outlineLevel="0" collapsed="false">
      <c r="B34" s="24" t="s">
        <v>79</v>
      </c>
      <c r="C34" s="20"/>
      <c r="D34" s="20"/>
      <c r="E34" s="25"/>
      <c r="F34" s="24"/>
      <c r="G34" s="20"/>
    </row>
    <row r="35" customFormat="false" ht="24" hidden="false" customHeight="true" outlineLevel="0" collapsed="false">
      <c r="B35" s="24" t="s">
        <v>80</v>
      </c>
      <c r="C35" s="20"/>
      <c r="D35" s="20"/>
      <c r="E35" s="25"/>
      <c r="F35" s="24"/>
      <c r="G35" s="20"/>
    </row>
    <row r="36" customFormat="false" ht="15" hidden="false" customHeight="true" outlineLevel="0" collapsed="false">
      <c r="B36" s="18" t="s">
        <v>81</v>
      </c>
      <c r="C36" s="18"/>
      <c r="D36" s="18"/>
      <c r="E36" s="18"/>
      <c r="F36" s="18"/>
      <c r="G36" s="18"/>
    </row>
    <row r="38" customFormat="false" ht="21.75" hidden="false" customHeight="true" outlineLevel="0" collapsed="false">
      <c r="B38" s="13" t="s">
        <v>82</v>
      </c>
      <c r="C38" s="13"/>
      <c r="D38" s="13"/>
      <c r="E38" s="13"/>
      <c r="F38" s="13"/>
      <c r="G38" s="13"/>
    </row>
    <row r="39" customFormat="false" ht="21.75" hidden="false" customHeight="true" outlineLevel="0" collapsed="false">
      <c r="B39" s="14" t="s">
        <v>83</v>
      </c>
      <c r="C39" s="20"/>
      <c r="D39" s="20"/>
      <c r="E39" s="20"/>
      <c r="F39" s="20"/>
      <c r="G39" s="20"/>
    </row>
    <row r="40" customFormat="false" ht="21.75" hidden="false" customHeight="true" outlineLevel="0" collapsed="false">
      <c r="B40" s="5" t="s">
        <v>84</v>
      </c>
      <c r="C40" s="22"/>
      <c r="D40" s="22"/>
      <c r="E40" s="22"/>
      <c r="F40" s="22"/>
      <c r="G40" s="22"/>
    </row>
    <row r="41" customFormat="false" ht="21.75" hidden="false" customHeight="true" outlineLevel="0" collapsed="false">
      <c r="B41" s="5"/>
      <c r="C41" s="22"/>
      <c r="D41" s="22"/>
      <c r="E41" s="22"/>
      <c r="F41" s="22"/>
      <c r="G41" s="22"/>
    </row>
    <row r="42" customFormat="false" ht="21.75" hidden="false" customHeight="true" outlineLevel="0" collapsed="false">
      <c r="B42" s="5" t="s">
        <v>85</v>
      </c>
      <c r="C42" s="22"/>
      <c r="D42" s="22"/>
      <c r="E42" s="22"/>
      <c r="F42" s="22"/>
      <c r="G42" s="22"/>
    </row>
    <row r="44" customFormat="false" ht="21.75" hidden="false" customHeight="true" outlineLevel="0" collapsed="false">
      <c r="B44" s="14" t="s">
        <v>86</v>
      </c>
      <c r="C44" s="20"/>
      <c r="D44" s="20"/>
      <c r="E44" s="20"/>
      <c r="F44" s="20"/>
      <c r="G44" s="20"/>
    </row>
    <row r="45" customFormat="false" ht="21.75" hidden="false" customHeight="true" outlineLevel="0" collapsed="false">
      <c r="B45" s="5" t="s">
        <v>84</v>
      </c>
      <c r="C45" s="22"/>
      <c r="D45" s="22"/>
      <c r="E45" s="22"/>
      <c r="F45" s="22"/>
      <c r="G45" s="22"/>
    </row>
    <row r="46" customFormat="false" ht="21.75" hidden="false" customHeight="true" outlineLevel="0" collapsed="false">
      <c r="B46" s="5"/>
      <c r="C46" s="22"/>
      <c r="D46" s="22"/>
      <c r="E46" s="22"/>
      <c r="F46" s="22"/>
      <c r="G46" s="22"/>
    </row>
    <row r="47" customFormat="false" ht="21.75" hidden="false" customHeight="true" outlineLevel="0" collapsed="false">
      <c r="B47" s="5" t="s">
        <v>85</v>
      </c>
      <c r="C47" s="22"/>
      <c r="D47" s="22"/>
      <c r="E47" s="22"/>
      <c r="F47" s="22"/>
      <c r="G47" s="22"/>
    </row>
    <row r="49" customFormat="false" ht="21.75" hidden="false" customHeight="true" outlineLevel="0" collapsed="false">
      <c r="B49" s="14" t="s">
        <v>87</v>
      </c>
      <c r="C49" s="20"/>
      <c r="D49" s="20"/>
      <c r="E49" s="20"/>
      <c r="F49" s="20"/>
      <c r="G49" s="20"/>
    </row>
    <row r="50" customFormat="false" ht="21.75" hidden="false" customHeight="true" outlineLevel="0" collapsed="false">
      <c r="B50" s="5" t="s">
        <v>84</v>
      </c>
      <c r="C50" s="22"/>
      <c r="D50" s="22"/>
      <c r="E50" s="22"/>
      <c r="F50" s="22"/>
      <c r="G50" s="22"/>
    </row>
    <row r="51" customFormat="false" ht="21.75" hidden="false" customHeight="true" outlineLevel="0" collapsed="false">
      <c r="B51" s="5"/>
      <c r="C51" s="22"/>
      <c r="D51" s="22"/>
      <c r="E51" s="22"/>
      <c r="F51" s="22"/>
      <c r="G51" s="22"/>
    </row>
    <row r="52" customFormat="false" ht="21.75" hidden="false" customHeight="true" outlineLevel="0" collapsed="false">
      <c r="B52" s="5" t="s">
        <v>85</v>
      </c>
      <c r="C52" s="22"/>
      <c r="D52" s="22"/>
      <c r="E52" s="22"/>
      <c r="F52" s="22"/>
      <c r="G52" s="22"/>
    </row>
    <row r="54" customFormat="false" ht="21.75" hidden="false" customHeight="true" outlineLevel="0" collapsed="false">
      <c r="B54" s="13" t="s">
        <v>88</v>
      </c>
      <c r="C54" s="13"/>
      <c r="D54" s="13"/>
      <c r="E54" s="13"/>
      <c r="F54" s="13"/>
      <c r="G54" s="13"/>
    </row>
    <row r="55" customFormat="false" ht="15" hidden="false" customHeight="true" outlineLevel="0" collapsed="false">
      <c r="B55" s="23" t="s">
        <v>56</v>
      </c>
      <c r="C55" s="4" t="s">
        <v>89</v>
      </c>
      <c r="D55" s="4" t="s">
        <v>90</v>
      </c>
      <c r="E55" s="4"/>
      <c r="F55" s="4" t="s">
        <v>91</v>
      </c>
      <c r="G55" s="4" t="s">
        <v>58</v>
      </c>
    </row>
    <row r="56" customFormat="false" ht="21.75" hidden="false" customHeight="true" outlineLevel="0" collapsed="false">
      <c r="B56" s="24" t="s">
        <v>92</v>
      </c>
      <c r="C56" s="20"/>
      <c r="D56" s="20"/>
      <c r="E56" s="20"/>
      <c r="F56" s="20"/>
      <c r="G56" s="20"/>
    </row>
    <row r="57" customFormat="false" ht="21.75" hidden="false" customHeight="true" outlineLevel="0" collapsed="false">
      <c r="B57" s="24" t="s">
        <v>93</v>
      </c>
      <c r="C57" s="20"/>
      <c r="D57" s="20"/>
      <c r="E57" s="20"/>
      <c r="F57" s="20"/>
      <c r="G57" s="20"/>
    </row>
    <row r="58" customFormat="false" ht="21.75" hidden="false" customHeight="true" outlineLevel="0" collapsed="false">
      <c r="B58" s="24" t="s">
        <v>94</v>
      </c>
      <c r="C58" s="20"/>
      <c r="D58" s="20"/>
      <c r="E58" s="20"/>
      <c r="F58" s="20"/>
      <c r="G58" s="20"/>
    </row>
    <row r="60" customFormat="false" ht="21.75" hidden="false" customHeight="true" outlineLevel="0" collapsed="false">
      <c r="B60" s="13" t="s">
        <v>95</v>
      </c>
      <c r="C60" s="13"/>
      <c r="D60" s="13"/>
      <c r="E60" s="13"/>
      <c r="F60" s="13"/>
      <c r="G60" s="13"/>
    </row>
    <row r="61" customFormat="false" ht="19.5" hidden="false" customHeight="true" outlineLevel="0" collapsed="false">
      <c r="B61" s="5" t="s">
        <v>96</v>
      </c>
      <c r="C61" s="20"/>
      <c r="D61" s="20"/>
      <c r="E61" s="5" t="s">
        <v>97</v>
      </c>
      <c r="F61" s="20"/>
      <c r="G61" s="20"/>
    </row>
    <row r="62" customFormat="false" ht="19.5" hidden="false" customHeight="true" outlineLevel="0" collapsed="false">
      <c r="B62" s="5" t="s">
        <v>98</v>
      </c>
      <c r="C62" s="20"/>
      <c r="D62" s="20"/>
      <c r="E62" s="5" t="s">
        <v>99</v>
      </c>
      <c r="F62" s="20"/>
      <c r="G62" s="20"/>
    </row>
  </sheetData>
  <mergeCells count="49">
    <mergeCell ref="B2:G2"/>
    <mergeCell ref="C4:D4"/>
    <mergeCell ref="F4:G4"/>
    <mergeCell ref="C5:D5"/>
    <mergeCell ref="F5:G5"/>
    <mergeCell ref="C6:D6"/>
    <mergeCell ref="F6:G6"/>
    <mergeCell ref="C7:G7"/>
    <mergeCell ref="C8:G8"/>
    <mergeCell ref="C9:G9"/>
    <mergeCell ref="B11:G11"/>
    <mergeCell ref="B12:G13"/>
    <mergeCell ref="B15:G15"/>
    <mergeCell ref="F16:G16"/>
    <mergeCell ref="F17:G17"/>
    <mergeCell ref="F18:G18"/>
    <mergeCell ref="F19:G19"/>
    <mergeCell ref="F20:G20"/>
    <mergeCell ref="B22:G22"/>
    <mergeCell ref="D23:E23"/>
    <mergeCell ref="D24:E24"/>
    <mergeCell ref="D25:E25"/>
    <mergeCell ref="D26:E26"/>
    <mergeCell ref="D27:E27"/>
    <mergeCell ref="B29:G29"/>
    <mergeCell ref="B36:G36"/>
    <mergeCell ref="B38:G38"/>
    <mergeCell ref="C39:G39"/>
    <mergeCell ref="B40:B41"/>
    <mergeCell ref="C40:G41"/>
    <mergeCell ref="C42:G42"/>
    <mergeCell ref="C44:G44"/>
    <mergeCell ref="B45:B46"/>
    <mergeCell ref="C45:G46"/>
    <mergeCell ref="C47:G47"/>
    <mergeCell ref="C49:G49"/>
    <mergeCell ref="B50:B51"/>
    <mergeCell ref="C50:G51"/>
    <mergeCell ref="C52:G52"/>
    <mergeCell ref="B54:G54"/>
    <mergeCell ref="D55:E55"/>
    <mergeCell ref="D56:E56"/>
    <mergeCell ref="D57:E57"/>
    <mergeCell ref="D58:E58"/>
    <mergeCell ref="B60:G60"/>
    <mergeCell ref="C61:D61"/>
    <mergeCell ref="F61:G61"/>
    <mergeCell ref="C62:D62"/>
    <mergeCell ref="F62:G62"/>
  </mergeCells>
  <dataValidations count="1">
    <dataValidation allowBlank="true" errorStyle="stop" operator="between" showDropDown="false" showErrorMessage="false" showInputMessage="false" sqref="F31:F35" type="list">
      <formula1>設定!$A$2:$A$6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7" min="5" style="0" width="12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24"/>
  </cols>
  <sheetData>
    <row r="1" customFormat="false" ht="24" hidden="false" customHeight="true" outlineLevel="0" collapsed="false">
      <c r="A1" s="26" t="s">
        <v>100</v>
      </c>
      <c r="B1" s="26" t="s">
        <v>45</v>
      </c>
      <c r="C1" s="27" t="s">
        <v>56</v>
      </c>
      <c r="D1" s="26" t="s">
        <v>101</v>
      </c>
      <c r="E1" s="26" t="s">
        <v>72</v>
      </c>
      <c r="F1" s="26" t="s">
        <v>73</v>
      </c>
      <c r="G1" s="26" t="s">
        <v>74</v>
      </c>
      <c r="H1" s="26" t="s">
        <v>102</v>
      </c>
      <c r="I1" s="26" t="s">
        <v>103</v>
      </c>
      <c r="J1" s="26" t="s">
        <v>75</v>
      </c>
    </row>
    <row r="2" customFormat="false" ht="28.35" hidden="false" customHeight="false" outlineLevel="0" collapsed="false">
      <c r="A2" s="28" t="n">
        <v>46283</v>
      </c>
      <c r="B2" s="29" t="s">
        <v>104</v>
      </c>
      <c r="C2" s="30" t="s">
        <v>76</v>
      </c>
      <c r="D2" s="29" t="s">
        <v>105</v>
      </c>
      <c r="E2" s="31" t="s">
        <v>106</v>
      </c>
      <c r="F2" s="28" t="n">
        <v>46290</v>
      </c>
      <c r="G2" s="31" t="s">
        <v>28</v>
      </c>
      <c r="H2" s="32" t="n">
        <f aca="true">IF(OR($F2="",$G2="完了",$G2="中止"),"",$F2-TODAY())</f>
        <v>7</v>
      </c>
      <c r="I2" s="28"/>
      <c r="J2" s="29" t="s">
        <v>107</v>
      </c>
    </row>
    <row r="3" customFormat="false" ht="15" hidden="false" customHeight="false" outlineLevel="0" collapsed="false">
      <c r="A3" s="25"/>
      <c r="B3" s="20"/>
      <c r="C3" s="24"/>
      <c r="D3" s="20"/>
      <c r="E3" s="24"/>
      <c r="F3" s="25"/>
      <c r="G3" s="24"/>
      <c r="H3" s="33" t="str">
        <f aca="true">IF(OR($F3="",$G3="完了",$G3="中止"),"",$F3-TODAY())</f>
        <v/>
      </c>
      <c r="I3" s="25"/>
      <c r="J3" s="20"/>
    </row>
    <row r="4" customFormat="false" ht="15" hidden="false" customHeight="false" outlineLevel="0" collapsed="false">
      <c r="A4" s="25"/>
      <c r="B4" s="20"/>
      <c r="C4" s="24"/>
      <c r="D4" s="20"/>
      <c r="E4" s="24"/>
      <c r="F4" s="25"/>
      <c r="G4" s="24"/>
      <c r="H4" s="33" t="str">
        <f aca="true">IF(OR($F4="",$G4="完了",$G4="中止"),"",$F4-TODAY())</f>
        <v/>
      </c>
      <c r="I4" s="25"/>
      <c r="J4" s="20"/>
    </row>
    <row r="5" customFormat="false" ht="15" hidden="false" customHeight="false" outlineLevel="0" collapsed="false">
      <c r="A5" s="25"/>
      <c r="B5" s="20"/>
      <c r="C5" s="24"/>
      <c r="D5" s="20"/>
      <c r="E5" s="24"/>
      <c r="F5" s="25"/>
      <c r="G5" s="24"/>
      <c r="H5" s="33" t="str">
        <f aca="true">IF(OR($F5="",$G5="完了",$G5="中止"),"",$F5-TODAY())</f>
        <v/>
      </c>
      <c r="I5" s="25"/>
      <c r="J5" s="20"/>
    </row>
    <row r="6" customFormat="false" ht="15" hidden="false" customHeight="false" outlineLevel="0" collapsed="false">
      <c r="A6" s="25"/>
      <c r="B6" s="20"/>
      <c r="C6" s="24"/>
      <c r="D6" s="20"/>
      <c r="E6" s="24"/>
      <c r="F6" s="25"/>
      <c r="G6" s="24"/>
      <c r="H6" s="33" t="str">
        <f aca="true">IF(OR($F6="",$G6="完了",$G6="中止"),"",$F6-TODAY())</f>
        <v/>
      </c>
      <c r="I6" s="25"/>
      <c r="J6" s="20"/>
    </row>
    <row r="7" customFormat="false" ht="15" hidden="false" customHeight="false" outlineLevel="0" collapsed="false">
      <c r="A7" s="25"/>
      <c r="B7" s="20"/>
      <c r="C7" s="24"/>
      <c r="D7" s="20"/>
      <c r="E7" s="24"/>
      <c r="F7" s="25"/>
      <c r="G7" s="24"/>
      <c r="H7" s="33" t="str">
        <f aca="true">IF(OR($F7="",$G7="完了",$G7="中止"),"",$F7-TODAY())</f>
        <v/>
      </c>
      <c r="I7" s="25"/>
      <c r="J7" s="20"/>
    </row>
    <row r="8" customFormat="false" ht="15" hidden="false" customHeight="false" outlineLevel="0" collapsed="false">
      <c r="A8" s="25"/>
      <c r="B8" s="20"/>
      <c r="C8" s="24"/>
      <c r="D8" s="20"/>
      <c r="E8" s="24"/>
      <c r="F8" s="25"/>
      <c r="G8" s="24"/>
      <c r="H8" s="33" t="str">
        <f aca="true">IF(OR($F8="",$G8="完了",$G8="中止"),"",$F8-TODAY())</f>
        <v/>
      </c>
      <c r="I8" s="25"/>
      <c r="J8" s="20"/>
    </row>
    <row r="9" customFormat="false" ht="15" hidden="false" customHeight="false" outlineLevel="0" collapsed="false">
      <c r="A9" s="25"/>
      <c r="B9" s="20"/>
      <c r="C9" s="24"/>
      <c r="D9" s="20"/>
      <c r="E9" s="24"/>
      <c r="F9" s="25"/>
      <c r="G9" s="24"/>
      <c r="H9" s="33" t="str">
        <f aca="true">IF(OR($F9="",$G9="完了",$G9="中止"),"",$F9-TODAY())</f>
        <v/>
      </c>
      <c r="I9" s="25"/>
      <c r="J9" s="20"/>
    </row>
    <row r="10" customFormat="false" ht="15" hidden="false" customHeight="false" outlineLevel="0" collapsed="false">
      <c r="A10" s="25"/>
      <c r="B10" s="20"/>
      <c r="C10" s="24"/>
      <c r="D10" s="20"/>
      <c r="E10" s="24"/>
      <c r="F10" s="25"/>
      <c r="G10" s="24"/>
      <c r="H10" s="33" t="str">
        <f aca="true">IF(OR($F10="",$G10="完了",$G10="中止"),"",$F10-TODAY())</f>
        <v/>
      </c>
      <c r="I10" s="25"/>
      <c r="J10" s="20"/>
    </row>
    <row r="11" customFormat="false" ht="15" hidden="false" customHeight="false" outlineLevel="0" collapsed="false">
      <c r="A11" s="25"/>
      <c r="B11" s="20"/>
      <c r="C11" s="24"/>
      <c r="D11" s="20"/>
      <c r="E11" s="24"/>
      <c r="F11" s="25"/>
      <c r="G11" s="24"/>
      <c r="H11" s="33" t="str">
        <f aca="true">IF(OR($F11="",$G11="完了",$G11="中止"),"",$F11-TODAY())</f>
        <v/>
      </c>
      <c r="I11" s="25"/>
      <c r="J11" s="20"/>
    </row>
    <row r="12" customFormat="false" ht="15" hidden="false" customHeight="false" outlineLevel="0" collapsed="false">
      <c r="A12" s="25"/>
      <c r="B12" s="20"/>
      <c r="C12" s="24"/>
      <c r="D12" s="20"/>
      <c r="E12" s="24"/>
      <c r="F12" s="25"/>
      <c r="G12" s="24"/>
      <c r="H12" s="33" t="str">
        <f aca="true">IF(OR($F12="",$G12="完了",$G12="中止"),"",$F12-TODAY())</f>
        <v/>
      </c>
      <c r="I12" s="25"/>
      <c r="J12" s="20"/>
    </row>
    <row r="13" customFormat="false" ht="15" hidden="false" customHeight="false" outlineLevel="0" collapsed="false">
      <c r="A13" s="25"/>
      <c r="B13" s="20"/>
      <c r="C13" s="24"/>
      <c r="D13" s="20"/>
      <c r="E13" s="24"/>
      <c r="F13" s="25"/>
      <c r="G13" s="24"/>
      <c r="H13" s="33" t="str">
        <f aca="true">IF(OR($F13="",$G13="完了",$G13="中止"),"",$F13-TODAY())</f>
        <v/>
      </c>
      <c r="I13" s="25"/>
      <c r="J13" s="20"/>
    </row>
    <row r="14" customFormat="false" ht="15" hidden="false" customHeight="false" outlineLevel="0" collapsed="false">
      <c r="A14" s="25"/>
      <c r="B14" s="20"/>
      <c r="C14" s="24"/>
      <c r="D14" s="20"/>
      <c r="E14" s="24"/>
      <c r="F14" s="25"/>
      <c r="G14" s="24"/>
      <c r="H14" s="33" t="str">
        <f aca="true">IF(OR($F14="",$G14="完了",$G14="中止"),"",$F14-TODAY())</f>
        <v/>
      </c>
      <c r="I14" s="25"/>
      <c r="J14" s="20"/>
    </row>
    <row r="15" customFormat="false" ht="15" hidden="false" customHeight="false" outlineLevel="0" collapsed="false">
      <c r="A15" s="25"/>
      <c r="B15" s="20"/>
      <c r="C15" s="24"/>
      <c r="D15" s="20"/>
      <c r="E15" s="24"/>
      <c r="F15" s="25"/>
      <c r="G15" s="24"/>
      <c r="H15" s="33" t="str">
        <f aca="true">IF(OR($F15="",$G15="完了",$G15="中止"),"",$F15-TODAY())</f>
        <v/>
      </c>
      <c r="I15" s="25"/>
      <c r="J15" s="20"/>
    </row>
    <row r="16" customFormat="false" ht="15" hidden="false" customHeight="false" outlineLevel="0" collapsed="false">
      <c r="A16" s="25"/>
      <c r="B16" s="20"/>
      <c r="C16" s="24"/>
      <c r="D16" s="20"/>
      <c r="E16" s="24"/>
      <c r="F16" s="25"/>
      <c r="G16" s="24"/>
      <c r="H16" s="33" t="str">
        <f aca="true">IF(OR($F16="",$G16="完了",$G16="中止"),"",$F16-TODAY())</f>
        <v/>
      </c>
      <c r="I16" s="25"/>
      <c r="J16" s="20"/>
    </row>
    <row r="17" customFormat="false" ht="15" hidden="false" customHeight="false" outlineLevel="0" collapsed="false">
      <c r="A17" s="25"/>
      <c r="B17" s="20"/>
      <c r="C17" s="24"/>
      <c r="D17" s="20"/>
      <c r="E17" s="24"/>
      <c r="F17" s="25"/>
      <c r="G17" s="24"/>
      <c r="H17" s="33" t="str">
        <f aca="true">IF(OR($F17="",$G17="完了",$G17="中止"),"",$F17-TODAY())</f>
        <v/>
      </c>
      <c r="I17" s="25"/>
      <c r="J17" s="20"/>
    </row>
    <row r="18" customFormat="false" ht="15" hidden="false" customHeight="false" outlineLevel="0" collapsed="false">
      <c r="A18" s="25"/>
      <c r="B18" s="20"/>
      <c r="C18" s="24"/>
      <c r="D18" s="20"/>
      <c r="E18" s="24"/>
      <c r="F18" s="25"/>
      <c r="G18" s="24"/>
      <c r="H18" s="33" t="str">
        <f aca="true">IF(OR($F18="",$G18="完了",$G18="中止"),"",$F18-TODAY())</f>
        <v/>
      </c>
      <c r="I18" s="25"/>
      <c r="J18" s="20"/>
    </row>
    <row r="19" customFormat="false" ht="15" hidden="false" customHeight="false" outlineLevel="0" collapsed="false">
      <c r="A19" s="25"/>
      <c r="B19" s="20"/>
      <c r="C19" s="24"/>
      <c r="D19" s="20"/>
      <c r="E19" s="24"/>
      <c r="F19" s="25"/>
      <c r="G19" s="24"/>
      <c r="H19" s="33" t="str">
        <f aca="true">IF(OR($F19="",$G19="完了",$G19="中止"),"",$F19-TODAY())</f>
        <v/>
      </c>
      <c r="I19" s="25"/>
      <c r="J19" s="20"/>
    </row>
    <row r="20" customFormat="false" ht="15" hidden="false" customHeight="false" outlineLevel="0" collapsed="false">
      <c r="A20" s="25"/>
      <c r="B20" s="20"/>
      <c r="C20" s="24"/>
      <c r="D20" s="20"/>
      <c r="E20" s="24"/>
      <c r="F20" s="25"/>
      <c r="G20" s="24"/>
      <c r="H20" s="33" t="str">
        <f aca="true">IF(OR($F20="",$G20="完了",$G20="中止"),"",$F20-TODAY())</f>
        <v/>
      </c>
      <c r="I20" s="25"/>
      <c r="J20" s="20"/>
    </row>
    <row r="21" customFormat="false" ht="15" hidden="false" customHeight="false" outlineLevel="0" collapsed="false">
      <c r="A21" s="25"/>
      <c r="B21" s="20"/>
      <c r="C21" s="24"/>
      <c r="D21" s="20"/>
      <c r="E21" s="24"/>
      <c r="F21" s="25"/>
      <c r="G21" s="24"/>
      <c r="H21" s="33" t="str">
        <f aca="true">IF(OR($F21="",$G21="完了",$G21="中止"),"",$F21-TODAY())</f>
        <v/>
      </c>
      <c r="I21" s="25"/>
      <c r="J21" s="20"/>
    </row>
    <row r="22" customFormat="false" ht="15" hidden="false" customHeight="false" outlineLevel="0" collapsed="false">
      <c r="A22" s="25"/>
      <c r="B22" s="20"/>
      <c r="C22" s="24"/>
      <c r="D22" s="20"/>
      <c r="E22" s="24"/>
      <c r="F22" s="25"/>
      <c r="G22" s="24"/>
      <c r="H22" s="33" t="str">
        <f aca="true">IF(OR($F22="",$G22="完了",$G22="中止"),"",$F22-TODAY())</f>
        <v/>
      </c>
      <c r="I22" s="25"/>
      <c r="J22" s="20"/>
    </row>
    <row r="23" customFormat="false" ht="15" hidden="false" customHeight="false" outlineLevel="0" collapsed="false">
      <c r="A23" s="25"/>
      <c r="B23" s="20"/>
      <c r="C23" s="24"/>
      <c r="D23" s="20"/>
      <c r="E23" s="24"/>
      <c r="F23" s="25"/>
      <c r="G23" s="24"/>
      <c r="H23" s="33" t="str">
        <f aca="true">IF(OR($F23="",$G23="完了",$G23="中止"),"",$F23-TODAY())</f>
        <v/>
      </c>
      <c r="I23" s="25"/>
      <c r="J23" s="20"/>
    </row>
    <row r="24" customFormat="false" ht="15" hidden="false" customHeight="false" outlineLevel="0" collapsed="false">
      <c r="A24" s="25"/>
      <c r="B24" s="20"/>
      <c r="C24" s="24"/>
      <c r="D24" s="20"/>
      <c r="E24" s="24"/>
      <c r="F24" s="25"/>
      <c r="G24" s="24"/>
      <c r="H24" s="33" t="str">
        <f aca="true">IF(OR($F24="",$G24="完了",$G24="中止"),"",$F24-TODAY())</f>
        <v/>
      </c>
      <c r="I24" s="25"/>
      <c r="J24" s="20"/>
    </row>
    <row r="25" customFormat="false" ht="15" hidden="false" customHeight="false" outlineLevel="0" collapsed="false">
      <c r="A25" s="25"/>
      <c r="B25" s="20"/>
      <c r="C25" s="24"/>
      <c r="D25" s="20"/>
      <c r="E25" s="24"/>
      <c r="F25" s="25"/>
      <c r="G25" s="24"/>
      <c r="H25" s="33" t="str">
        <f aca="true">IF(OR($F25="",$G25="完了",$G25="中止"),"",$F25-TODAY())</f>
        <v/>
      </c>
      <c r="I25" s="25"/>
      <c r="J25" s="20"/>
    </row>
    <row r="26" customFormat="false" ht="15" hidden="false" customHeight="false" outlineLevel="0" collapsed="false">
      <c r="A26" s="25"/>
      <c r="B26" s="20"/>
      <c r="C26" s="24"/>
      <c r="D26" s="20"/>
      <c r="E26" s="24"/>
      <c r="F26" s="25"/>
      <c r="G26" s="24"/>
      <c r="H26" s="33" t="str">
        <f aca="true">IF(OR($F26="",$G26="完了",$G26="中止"),"",$F26-TODAY())</f>
        <v/>
      </c>
      <c r="I26" s="25"/>
      <c r="J26" s="20"/>
    </row>
    <row r="27" customFormat="false" ht="15" hidden="false" customHeight="false" outlineLevel="0" collapsed="false">
      <c r="A27" s="25"/>
      <c r="B27" s="20"/>
      <c r="C27" s="24"/>
      <c r="D27" s="20"/>
      <c r="E27" s="24"/>
      <c r="F27" s="25"/>
      <c r="G27" s="24"/>
      <c r="H27" s="33" t="str">
        <f aca="true">IF(OR($F27="",$G27="完了",$G27="中止"),"",$F27-TODAY())</f>
        <v/>
      </c>
      <c r="I27" s="25"/>
      <c r="J27" s="20"/>
    </row>
    <row r="28" customFormat="false" ht="15" hidden="false" customHeight="false" outlineLevel="0" collapsed="false">
      <c r="A28" s="25"/>
      <c r="B28" s="20"/>
      <c r="C28" s="24"/>
      <c r="D28" s="20"/>
      <c r="E28" s="24"/>
      <c r="F28" s="25"/>
      <c r="G28" s="24"/>
      <c r="H28" s="33" t="str">
        <f aca="true">IF(OR($F28="",$G28="完了",$G28="中止"),"",$F28-TODAY())</f>
        <v/>
      </c>
      <c r="I28" s="25"/>
      <c r="J28" s="20"/>
    </row>
    <row r="29" customFormat="false" ht="15" hidden="false" customHeight="false" outlineLevel="0" collapsed="false">
      <c r="A29" s="25"/>
      <c r="B29" s="20"/>
      <c r="C29" s="24"/>
      <c r="D29" s="20"/>
      <c r="E29" s="24"/>
      <c r="F29" s="25"/>
      <c r="G29" s="24"/>
      <c r="H29" s="33" t="str">
        <f aca="true">IF(OR($F29="",$G29="完了",$G29="中止"),"",$F29-TODAY())</f>
        <v/>
      </c>
      <c r="I29" s="25"/>
      <c r="J29" s="20"/>
    </row>
    <row r="30" customFormat="false" ht="15" hidden="false" customHeight="false" outlineLevel="0" collapsed="false">
      <c r="A30" s="25"/>
      <c r="B30" s="20"/>
      <c r="C30" s="24"/>
      <c r="D30" s="20"/>
      <c r="E30" s="24"/>
      <c r="F30" s="25"/>
      <c r="G30" s="24"/>
      <c r="H30" s="33" t="str">
        <f aca="true">IF(OR($F30="",$G30="完了",$G30="中止"),"",$F30-TODAY())</f>
        <v/>
      </c>
      <c r="I30" s="25"/>
      <c r="J30" s="20"/>
    </row>
    <row r="31" customFormat="false" ht="15" hidden="false" customHeight="false" outlineLevel="0" collapsed="false">
      <c r="A31" s="25"/>
      <c r="B31" s="20"/>
      <c r="C31" s="24"/>
      <c r="D31" s="20"/>
      <c r="E31" s="24"/>
      <c r="F31" s="25"/>
      <c r="G31" s="24"/>
      <c r="H31" s="33" t="str">
        <f aca="true">IF(OR($F31="",$G31="完了",$G31="中止"),"",$F31-TODAY())</f>
        <v/>
      </c>
      <c r="I31" s="25"/>
      <c r="J31" s="20"/>
    </row>
    <row r="32" customFormat="false" ht="15" hidden="false" customHeight="false" outlineLevel="0" collapsed="false">
      <c r="A32" s="25"/>
      <c r="B32" s="20"/>
      <c r="C32" s="24"/>
      <c r="D32" s="20"/>
      <c r="E32" s="24"/>
      <c r="F32" s="25"/>
      <c r="G32" s="24"/>
      <c r="H32" s="33" t="str">
        <f aca="true">IF(OR($F32="",$G32="完了",$G32="中止"),"",$F32-TODAY())</f>
        <v/>
      </c>
      <c r="I32" s="25"/>
      <c r="J32" s="20"/>
    </row>
    <row r="33" customFormat="false" ht="15" hidden="false" customHeight="false" outlineLevel="0" collapsed="false">
      <c r="A33" s="25"/>
      <c r="B33" s="20"/>
      <c r="C33" s="24"/>
      <c r="D33" s="20"/>
      <c r="E33" s="24"/>
      <c r="F33" s="25"/>
      <c r="G33" s="24"/>
      <c r="H33" s="33" t="str">
        <f aca="true">IF(OR($F33="",$G33="完了",$G33="中止"),"",$F33-TODAY())</f>
        <v/>
      </c>
      <c r="I33" s="25"/>
      <c r="J33" s="20"/>
    </row>
    <row r="34" customFormat="false" ht="15" hidden="false" customHeight="false" outlineLevel="0" collapsed="false">
      <c r="A34" s="25"/>
      <c r="B34" s="20"/>
      <c r="C34" s="24"/>
      <c r="D34" s="20"/>
      <c r="E34" s="24"/>
      <c r="F34" s="25"/>
      <c r="G34" s="24"/>
      <c r="H34" s="33" t="str">
        <f aca="true">IF(OR($F34="",$G34="完了",$G34="中止"),"",$F34-TODAY())</f>
        <v/>
      </c>
      <c r="I34" s="25"/>
      <c r="J34" s="20"/>
    </row>
    <row r="35" customFormat="false" ht="15" hidden="false" customHeight="false" outlineLevel="0" collapsed="false">
      <c r="A35" s="25"/>
      <c r="B35" s="20"/>
      <c r="C35" s="24"/>
      <c r="D35" s="20"/>
      <c r="E35" s="24"/>
      <c r="F35" s="25"/>
      <c r="G35" s="24"/>
      <c r="H35" s="33" t="str">
        <f aca="true">IF(OR($F35="",$G35="完了",$G35="中止"),"",$F35-TODAY())</f>
        <v/>
      </c>
      <c r="I35" s="25"/>
      <c r="J35" s="20"/>
    </row>
    <row r="36" customFormat="false" ht="15" hidden="false" customHeight="false" outlineLevel="0" collapsed="false">
      <c r="A36" s="25"/>
      <c r="B36" s="20"/>
      <c r="C36" s="24"/>
      <c r="D36" s="20"/>
      <c r="E36" s="24"/>
      <c r="F36" s="25"/>
      <c r="G36" s="24"/>
      <c r="H36" s="33" t="str">
        <f aca="true">IF(OR($F36="",$G36="完了",$G36="中止"),"",$F36-TODAY())</f>
        <v/>
      </c>
      <c r="I36" s="25"/>
      <c r="J36" s="20"/>
    </row>
    <row r="37" customFormat="false" ht="15" hidden="false" customHeight="false" outlineLevel="0" collapsed="false">
      <c r="A37" s="25"/>
      <c r="B37" s="20"/>
      <c r="C37" s="24"/>
      <c r="D37" s="20"/>
      <c r="E37" s="24"/>
      <c r="F37" s="25"/>
      <c r="G37" s="24"/>
      <c r="H37" s="33" t="str">
        <f aca="true">IF(OR($F37="",$G37="完了",$G37="中止"),"",$F37-TODAY())</f>
        <v/>
      </c>
      <c r="I37" s="25"/>
      <c r="J37" s="20"/>
    </row>
    <row r="38" customFormat="false" ht="15" hidden="false" customHeight="false" outlineLevel="0" collapsed="false">
      <c r="A38" s="25"/>
      <c r="B38" s="20"/>
      <c r="C38" s="24"/>
      <c r="D38" s="20"/>
      <c r="E38" s="24"/>
      <c r="F38" s="25"/>
      <c r="G38" s="24"/>
      <c r="H38" s="33" t="str">
        <f aca="true">IF(OR($F38="",$G38="完了",$G38="中止"),"",$F38-TODAY())</f>
        <v/>
      </c>
      <c r="I38" s="25"/>
      <c r="J38" s="20"/>
    </row>
    <row r="39" customFormat="false" ht="15" hidden="false" customHeight="false" outlineLevel="0" collapsed="false">
      <c r="A39" s="25"/>
      <c r="B39" s="20"/>
      <c r="C39" s="24"/>
      <c r="D39" s="20"/>
      <c r="E39" s="24"/>
      <c r="F39" s="25"/>
      <c r="G39" s="24"/>
      <c r="H39" s="33" t="str">
        <f aca="true">IF(OR($F39="",$G39="完了",$G39="中止"),"",$F39-TODAY())</f>
        <v/>
      </c>
      <c r="I39" s="25"/>
      <c r="J39" s="20"/>
    </row>
    <row r="40" customFormat="false" ht="15" hidden="false" customHeight="false" outlineLevel="0" collapsed="false">
      <c r="A40" s="25"/>
      <c r="B40" s="20"/>
      <c r="C40" s="24"/>
      <c r="D40" s="20"/>
      <c r="E40" s="24"/>
      <c r="F40" s="25"/>
      <c r="G40" s="24"/>
      <c r="H40" s="33" t="str">
        <f aca="true">IF(OR($F40="",$G40="完了",$G40="中止"),"",$F40-TODAY())</f>
        <v/>
      </c>
      <c r="I40" s="25"/>
      <c r="J40" s="20"/>
    </row>
    <row r="41" customFormat="false" ht="15" hidden="false" customHeight="false" outlineLevel="0" collapsed="false">
      <c r="A41" s="25"/>
      <c r="B41" s="20"/>
      <c r="C41" s="24"/>
      <c r="D41" s="20"/>
      <c r="E41" s="24"/>
      <c r="F41" s="25"/>
      <c r="G41" s="24"/>
      <c r="H41" s="33" t="str">
        <f aca="true">IF(OR($F41="",$G41="完了",$G41="中止"),"",$F41-TODAY())</f>
        <v/>
      </c>
      <c r="I41" s="25"/>
      <c r="J41" s="20"/>
    </row>
    <row r="42" customFormat="false" ht="15" hidden="false" customHeight="false" outlineLevel="0" collapsed="false">
      <c r="A42" s="25"/>
      <c r="B42" s="20"/>
      <c r="C42" s="24"/>
      <c r="D42" s="20"/>
      <c r="E42" s="24"/>
      <c r="F42" s="25"/>
      <c r="G42" s="24"/>
      <c r="H42" s="33" t="str">
        <f aca="true">IF(OR($F42="",$G42="完了",$G42="中止"),"",$F42-TODAY())</f>
        <v/>
      </c>
      <c r="I42" s="25"/>
      <c r="J42" s="20"/>
    </row>
    <row r="43" customFormat="false" ht="15" hidden="false" customHeight="false" outlineLevel="0" collapsed="false">
      <c r="A43" s="25"/>
      <c r="B43" s="20"/>
      <c r="C43" s="24"/>
      <c r="D43" s="20"/>
      <c r="E43" s="24"/>
      <c r="F43" s="25"/>
      <c r="G43" s="24"/>
      <c r="H43" s="33" t="str">
        <f aca="true">IF(OR($F43="",$G43="完了",$G43="中止"),"",$F43-TODAY())</f>
        <v/>
      </c>
      <c r="I43" s="25"/>
      <c r="J43" s="20"/>
    </row>
    <row r="44" customFormat="false" ht="15" hidden="false" customHeight="false" outlineLevel="0" collapsed="false">
      <c r="A44" s="25"/>
      <c r="B44" s="20"/>
      <c r="C44" s="24"/>
      <c r="D44" s="20"/>
      <c r="E44" s="24"/>
      <c r="F44" s="25"/>
      <c r="G44" s="24"/>
      <c r="H44" s="33" t="str">
        <f aca="true">IF(OR($F44="",$G44="完了",$G44="中止"),"",$F44-TODAY())</f>
        <v/>
      </c>
      <c r="I44" s="25"/>
      <c r="J44" s="20"/>
    </row>
    <row r="45" customFormat="false" ht="15" hidden="false" customHeight="false" outlineLevel="0" collapsed="false">
      <c r="A45" s="25"/>
      <c r="B45" s="20"/>
      <c r="C45" s="24"/>
      <c r="D45" s="20"/>
      <c r="E45" s="24"/>
      <c r="F45" s="25"/>
      <c r="G45" s="24"/>
      <c r="H45" s="33" t="str">
        <f aca="true">IF(OR($F45="",$G45="完了",$G45="中止"),"",$F45-TODAY())</f>
        <v/>
      </c>
      <c r="I45" s="25"/>
      <c r="J45" s="20"/>
    </row>
    <row r="46" customFormat="false" ht="15" hidden="false" customHeight="false" outlineLevel="0" collapsed="false">
      <c r="A46" s="25"/>
      <c r="B46" s="20"/>
      <c r="C46" s="24"/>
      <c r="D46" s="20"/>
      <c r="E46" s="24"/>
      <c r="F46" s="25"/>
      <c r="G46" s="24"/>
      <c r="H46" s="33" t="str">
        <f aca="true">IF(OR($F46="",$G46="完了",$G46="中止"),"",$F46-TODAY())</f>
        <v/>
      </c>
      <c r="I46" s="25"/>
      <c r="J46" s="20"/>
    </row>
    <row r="47" customFormat="false" ht="15" hidden="false" customHeight="false" outlineLevel="0" collapsed="false">
      <c r="A47" s="25"/>
      <c r="B47" s="20"/>
      <c r="C47" s="24"/>
      <c r="D47" s="20"/>
      <c r="E47" s="24"/>
      <c r="F47" s="25"/>
      <c r="G47" s="24"/>
      <c r="H47" s="33" t="str">
        <f aca="true">IF(OR($F47="",$G47="完了",$G47="中止"),"",$F47-TODAY())</f>
        <v/>
      </c>
      <c r="I47" s="25"/>
      <c r="J47" s="20"/>
    </row>
    <row r="48" customFormat="false" ht="15" hidden="false" customHeight="false" outlineLevel="0" collapsed="false">
      <c r="A48" s="25"/>
      <c r="B48" s="20"/>
      <c r="C48" s="24"/>
      <c r="D48" s="20"/>
      <c r="E48" s="24"/>
      <c r="F48" s="25"/>
      <c r="G48" s="24"/>
      <c r="H48" s="33" t="str">
        <f aca="true">IF(OR($F48="",$G48="完了",$G48="中止"),"",$F48-TODAY())</f>
        <v/>
      </c>
      <c r="I48" s="25"/>
      <c r="J48" s="20"/>
    </row>
    <row r="49" customFormat="false" ht="15" hidden="false" customHeight="false" outlineLevel="0" collapsed="false">
      <c r="A49" s="25"/>
      <c r="B49" s="20"/>
      <c r="C49" s="24"/>
      <c r="D49" s="20"/>
      <c r="E49" s="24"/>
      <c r="F49" s="25"/>
      <c r="G49" s="24"/>
      <c r="H49" s="33" t="str">
        <f aca="true">IF(OR($F49="",$G49="完了",$G49="中止"),"",$F49-TODAY())</f>
        <v/>
      </c>
      <c r="I49" s="25"/>
      <c r="J49" s="20"/>
    </row>
    <row r="50" customFormat="false" ht="15" hidden="false" customHeight="false" outlineLevel="0" collapsed="false">
      <c r="A50" s="25"/>
      <c r="B50" s="20"/>
      <c r="C50" s="24"/>
      <c r="D50" s="20"/>
      <c r="E50" s="24"/>
      <c r="F50" s="25"/>
      <c r="G50" s="24"/>
      <c r="H50" s="33" t="str">
        <f aca="true">IF(OR($F50="",$G50="完了",$G50="中止"),"",$F50-TODAY())</f>
        <v/>
      </c>
      <c r="I50" s="25"/>
      <c r="J50" s="20"/>
    </row>
    <row r="51" customFormat="false" ht="15" hidden="false" customHeight="false" outlineLevel="0" collapsed="false">
      <c r="A51" s="25"/>
      <c r="B51" s="20"/>
      <c r="C51" s="24"/>
      <c r="D51" s="20"/>
      <c r="E51" s="24"/>
      <c r="F51" s="25"/>
      <c r="G51" s="24"/>
      <c r="H51" s="33" t="str">
        <f aca="true">IF(OR($F51="",$G51="完了",$G51="中止"),"",$F51-TODAY())</f>
        <v/>
      </c>
      <c r="I51" s="25"/>
      <c r="J51" s="20"/>
    </row>
    <row r="52" customFormat="false" ht="15" hidden="false" customHeight="false" outlineLevel="0" collapsed="false">
      <c r="A52" s="25"/>
      <c r="B52" s="20"/>
      <c r="C52" s="24"/>
      <c r="D52" s="20"/>
      <c r="E52" s="24"/>
      <c r="F52" s="25"/>
      <c r="G52" s="24"/>
      <c r="H52" s="33" t="str">
        <f aca="true">IF(OR($F52="",$G52="完了",$G52="中止"),"",$F52-TODAY())</f>
        <v/>
      </c>
      <c r="I52" s="25"/>
      <c r="J52" s="20"/>
    </row>
    <row r="53" customFormat="false" ht="15" hidden="false" customHeight="false" outlineLevel="0" collapsed="false">
      <c r="A53" s="25"/>
      <c r="B53" s="20"/>
      <c r="C53" s="24"/>
      <c r="D53" s="20"/>
      <c r="E53" s="24"/>
      <c r="F53" s="25"/>
      <c r="G53" s="24"/>
      <c r="H53" s="33" t="str">
        <f aca="true">IF(OR($F53="",$G53="完了",$G53="中止"),"",$F53-TODAY())</f>
        <v/>
      </c>
      <c r="I53" s="25"/>
      <c r="J53" s="20"/>
    </row>
    <row r="54" customFormat="false" ht="15" hidden="false" customHeight="false" outlineLevel="0" collapsed="false">
      <c r="A54" s="25"/>
      <c r="B54" s="20"/>
      <c r="C54" s="24"/>
      <c r="D54" s="20"/>
      <c r="E54" s="24"/>
      <c r="F54" s="25"/>
      <c r="G54" s="24"/>
      <c r="H54" s="33" t="str">
        <f aca="true">IF(OR($F54="",$G54="完了",$G54="中止"),"",$F54-TODAY())</f>
        <v/>
      </c>
      <c r="I54" s="25"/>
      <c r="J54" s="20"/>
    </row>
    <row r="55" customFormat="false" ht="15" hidden="false" customHeight="false" outlineLevel="0" collapsed="false">
      <c r="A55" s="25"/>
      <c r="B55" s="20"/>
      <c r="C55" s="24"/>
      <c r="D55" s="20"/>
      <c r="E55" s="24"/>
      <c r="F55" s="25"/>
      <c r="G55" s="24"/>
      <c r="H55" s="33" t="str">
        <f aca="true">IF(OR($F55="",$G55="完了",$G55="中止"),"",$F55-TODAY())</f>
        <v/>
      </c>
      <c r="I55" s="25"/>
      <c r="J55" s="20"/>
    </row>
    <row r="56" customFormat="false" ht="15" hidden="false" customHeight="false" outlineLevel="0" collapsed="false">
      <c r="A56" s="25"/>
      <c r="B56" s="20"/>
      <c r="C56" s="24"/>
      <c r="D56" s="20"/>
      <c r="E56" s="24"/>
      <c r="F56" s="25"/>
      <c r="G56" s="24"/>
      <c r="H56" s="33" t="str">
        <f aca="true">IF(OR($F56="",$G56="完了",$G56="中止"),"",$F56-TODAY())</f>
        <v/>
      </c>
      <c r="I56" s="25"/>
      <c r="J56" s="20"/>
    </row>
    <row r="57" customFormat="false" ht="15" hidden="false" customHeight="false" outlineLevel="0" collapsed="false">
      <c r="A57" s="25"/>
      <c r="B57" s="20"/>
      <c r="C57" s="24"/>
      <c r="D57" s="20"/>
      <c r="E57" s="24"/>
      <c r="F57" s="25"/>
      <c r="G57" s="24"/>
      <c r="H57" s="33" t="str">
        <f aca="true">IF(OR($F57="",$G57="完了",$G57="中止"),"",$F57-TODAY())</f>
        <v/>
      </c>
      <c r="I57" s="25"/>
      <c r="J57" s="20"/>
    </row>
    <row r="58" customFormat="false" ht="15" hidden="false" customHeight="false" outlineLevel="0" collapsed="false">
      <c r="A58" s="25"/>
      <c r="B58" s="20"/>
      <c r="C58" s="24"/>
      <c r="D58" s="20"/>
      <c r="E58" s="24"/>
      <c r="F58" s="25"/>
      <c r="G58" s="24"/>
      <c r="H58" s="33" t="str">
        <f aca="true">IF(OR($F58="",$G58="完了",$G58="中止"),"",$F58-TODAY())</f>
        <v/>
      </c>
      <c r="I58" s="25"/>
      <c r="J58" s="20"/>
    </row>
    <row r="59" customFormat="false" ht="15" hidden="false" customHeight="false" outlineLevel="0" collapsed="false">
      <c r="A59" s="25"/>
      <c r="B59" s="20"/>
      <c r="C59" s="24"/>
      <c r="D59" s="20"/>
      <c r="E59" s="24"/>
      <c r="F59" s="25"/>
      <c r="G59" s="24"/>
      <c r="H59" s="33" t="str">
        <f aca="true">IF(OR($F59="",$G59="完了",$G59="中止"),"",$F59-TODAY())</f>
        <v/>
      </c>
      <c r="I59" s="25"/>
      <c r="J59" s="20"/>
    </row>
    <row r="60" customFormat="false" ht="15" hidden="false" customHeight="false" outlineLevel="0" collapsed="false">
      <c r="A60" s="25"/>
      <c r="B60" s="20"/>
      <c r="C60" s="24"/>
      <c r="D60" s="20"/>
      <c r="E60" s="24"/>
      <c r="F60" s="25"/>
      <c r="G60" s="24"/>
      <c r="H60" s="33" t="str">
        <f aca="true">IF(OR($F60="",$G60="完了",$G60="中止"),"",$F60-TODAY())</f>
        <v/>
      </c>
      <c r="I60" s="25"/>
      <c r="J60" s="20"/>
    </row>
    <row r="61" customFormat="false" ht="15" hidden="false" customHeight="false" outlineLevel="0" collapsed="false">
      <c r="A61" s="25"/>
      <c r="B61" s="20"/>
      <c r="C61" s="24"/>
      <c r="D61" s="20"/>
      <c r="E61" s="24"/>
      <c r="F61" s="25"/>
      <c r="G61" s="24"/>
      <c r="H61" s="33" t="str">
        <f aca="true">IF(OR($F61="",$G61="完了",$G61="中止"),"",$F61-TODAY())</f>
        <v/>
      </c>
      <c r="I61" s="25"/>
      <c r="J61" s="20"/>
    </row>
    <row r="62" customFormat="false" ht="15" hidden="false" customHeight="false" outlineLevel="0" collapsed="false">
      <c r="A62" s="25"/>
      <c r="B62" s="20"/>
      <c r="C62" s="24"/>
      <c r="D62" s="20"/>
      <c r="E62" s="24"/>
      <c r="F62" s="25"/>
      <c r="G62" s="24"/>
      <c r="H62" s="33" t="str">
        <f aca="true">IF(OR($F62="",$G62="完了",$G62="中止"),"",$F62-TODAY())</f>
        <v/>
      </c>
      <c r="I62" s="25"/>
      <c r="J62" s="20"/>
    </row>
    <row r="63" customFormat="false" ht="15" hidden="false" customHeight="false" outlineLevel="0" collapsed="false">
      <c r="A63" s="25"/>
      <c r="B63" s="20"/>
      <c r="C63" s="24"/>
      <c r="D63" s="20"/>
      <c r="E63" s="24"/>
      <c r="F63" s="25"/>
      <c r="G63" s="24"/>
      <c r="H63" s="33" t="str">
        <f aca="true">IF(OR($F63="",$G63="完了",$G63="中止"),"",$F63-TODAY())</f>
        <v/>
      </c>
      <c r="I63" s="25"/>
      <c r="J63" s="20"/>
    </row>
    <row r="64" customFormat="false" ht="15" hidden="false" customHeight="false" outlineLevel="0" collapsed="false">
      <c r="A64" s="25"/>
      <c r="B64" s="20"/>
      <c r="C64" s="24"/>
      <c r="D64" s="20"/>
      <c r="E64" s="24"/>
      <c r="F64" s="25"/>
      <c r="G64" s="24"/>
      <c r="H64" s="33" t="str">
        <f aca="true">IF(OR($F64="",$G64="完了",$G64="中止"),"",$F64-TODAY())</f>
        <v/>
      </c>
      <c r="I64" s="25"/>
      <c r="J64" s="20"/>
    </row>
    <row r="65" customFormat="false" ht="15" hidden="false" customHeight="false" outlineLevel="0" collapsed="false">
      <c r="A65" s="25"/>
      <c r="B65" s="20"/>
      <c r="C65" s="24"/>
      <c r="D65" s="20"/>
      <c r="E65" s="24"/>
      <c r="F65" s="25"/>
      <c r="G65" s="24"/>
      <c r="H65" s="33" t="str">
        <f aca="true">IF(OR($F65="",$G65="完了",$G65="中止"),"",$F65-TODAY())</f>
        <v/>
      </c>
      <c r="I65" s="25"/>
      <c r="J65" s="20"/>
    </row>
    <row r="66" customFormat="false" ht="15" hidden="false" customHeight="false" outlineLevel="0" collapsed="false">
      <c r="A66" s="25"/>
      <c r="B66" s="20"/>
      <c r="C66" s="24"/>
      <c r="D66" s="20"/>
      <c r="E66" s="24"/>
      <c r="F66" s="25"/>
      <c r="G66" s="24"/>
      <c r="H66" s="33" t="str">
        <f aca="true">IF(OR($F66="",$G66="完了",$G66="中止"),"",$F66-TODAY())</f>
        <v/>
      </c>
      <c r="I66" s="25"/>
      <c r="J66" s="20"/>
    </row>
    <row r="67" customFormat="false" ht="15" hidden="false" customHeight="false" outlineLevel="0" collapsed="false">
      <c r="A67" s="25"/>
      <c r="B67" s="20"/>
      <c r="C67" s="24"/>
      <c r="D67" s="20"/>
      <c r="E67" s="24"/>
      <c r="F67" s="25"/>
      <c r="G67" s="24"/>
      <c r="H67" s="33" t="str">
        <f aca="true">IF(OR($F67="",$G67="完了",$G67="中止"),"",$F67-TODAY())</f>
        <v/>
      </c>
      <c r="I67" s="25"/>
      <c r="J67" s="20"/>
    </row>
    <row r="68" customFormat="false" ht="15" hidden="false" customHeight="false" outlineLevel="0" collapsed="false">
      <c r="A68" s="25"/>
      <c r="B68" s="20"/>
      <c r="C68" s="24"/>
      <c r="D68" s="20"/>
      <c r="E68" s="24"/>
      <c r="F68" s="25"/>
      <c r="G68" s="24"/>
      <c r="H68" s="33" t="str">
        <f aca="true">IF(OR($F68="",$G68="完了",$G68="中止"),"",$F68-TODAY())</f>
        <v/>
      </c>
      <c r="I68" s="25"/>
      <c r="J68" s="20"/>
    </row>
    <row r="69" customFormat="false" ht="15" hidden="false" customHeight="false" outlineLevel="0" collapsed="false">
      <c r="A69" s="25"/>
      <c r="B69" s="20"/>
      <c r="C69" s="24"/>
      <c r="D69" s="20"/>
      <c r="E69" s="24"/>
      <c r="F69" s="25"/>
      <c r="G69" s="24"/>
      <c r="H69" s="33" t="str">
        <f aca="true">IF(OR($F69="",$G69="完了",$G69="中止"),"",$F69-TODAY())</f>
        <v/>
      </c>
      <c r="I69" s="25"/>
      <c r="J69" s="20"/>
    </row>
    <row r="70" customFormat="false" ht="15" hidden="false" customHeight="false" outlineLevel="0" collapsed="false">
      <c r="A70" s="25"/>
      <c r="B70" s="20"/>
      <c r="C70" s="24"/>
      <c r="D70" s="20"/>
      <c r="E70" s="24"/>
      <c r="F70" s="25"/>
      <c r="G70" s="24"/>
      <c r="H70" s="33" t="str">
        <f aca="true">IF(OR($F70="",$G70="完了",$G70="中止"),"",$F70-TODAY())</f>
        <v/>
      </c>
      <c r="I70" s="25"/>
      <c r="J70" s="20"/>
    </row>
    <row r="71" customFormat="false" ht="15" hidden="false" customHeight="false" outlineLevel="0" collapsed="false">
      <c r="A71" s="25"/>
      <c r="B71" s="20"/>
      <c r="C71" s="24"/>
      <c r="D71" s="20"/>
      <c r="E71" s="24"/>
      <c r="F71" s="25"/>
      <c r="G71" s="24"/>
      <c r="H71" s="33" t="str">
        <f aca="true">IF(OR($F71="",$G71="完了",$G71="中止"),"",$F71-TODAY())</f>
        <v/>
      </c>
      <c r="I71" s="25"/>
      <c r="J71" s="20"/>
    </row>
    <row r="72" customFormat="false" ht="15" hidden="false" customHeight="false" outlineLevel="0" collapsed="false">
      <c r="A72" s="25"/>
      <c r="B72" s="20"/>
      <c r="C72" s="24"/>
      <c r="D72" s="20"/>
      <c r="E72" s="24"/>
      <c r="F72" s="25"/>
      <c r="G72" s="24"/>
      <c r="H72" s="33" t="str">
        <f aca="true">IF(OR($F72="",$G72="完了",$G72="中止"),"",$F72-TODAY())</f>
        <v/>
      </c>
      <c r="I72" s="25"/>
      <c r="J72" s="20"/>
    </row>
    <row r="73" customFormat="false" ht="15" hidden="false" customHeight="false" outlineLevel="0" collapsed="false">
      <c r="A73" s="25"/>
      <c r="B73" s="20"/>
      <c r="C73" s="24"/>
      <c r="D73" s="20"/>
      <c r="E73" s="24"/>
      <c r="F73" s="25"/>
      <c r="G73" s="24"/>
      <c r="H73" s="33" t="str">
        <f aca="true">IF(OR($F73="",$G73="完了",$G73="中止"),"",$F73-TODAY())</f>
        <v/>
      </c>
      <c r="I73" s="25"/>
      <c r="J73" s="20"/>
    </row>
    <row r="74" customFormat="false" ht="15" hidden="false" customHeight="false" outlineLevel="0" collapsed="false">
      <c r="A74" s="25"/>
      <c r="B74" s="20"/>
      <c r="C74" s="24"/>
      <c r="D74" s="20"/>
      <c r="E74" s="24"/>
      <c r="F74" s="25"/>
      <c r="G74" s="24"/>
      <c r="H74" s="33" t="str">
        <f aca="true">IF(OR($F74="",$G74="完了",$G74="中止"),"",$F74-TODAY())</f>
        <v/>
      </c>
      <c r="I74" s="25"/>
      <c r="J74" s="20"/>
    </row>
    <row r="75" customFormat="false" ht="15" hidden="false" customHeight="false" outlineLevel="0" collapsed="false">
      <c r="A75" s="25"/>
      <c r="B75" s="20"/>
      <c r="C75" s="24"/>
      <c r="D75" s="20"/>
      <c r="E75" s="24"/>
      <c r="F75" s="25"/>
      <c r="G75" s="24"/>
      <c r="H75" s="33" t="str">
        <f aca="true">IF(OR($F75="",$G75="完了",$G75="中止"),"",$F75-TODAY())</f>
        <v/>
      </c>
      <c r="I75" s="25"/>
      <c r="J75" s="20"/>
    </row>
    <row r="76" customFormat="false" ht="15" hidden="false" customHeight="false" outlineLevel="0" collapsed="false">
      <c r="A76" s="25"/>
      <c r="B76" s="20"/>
      <c r="C76" s="24"/>
      <c r="D76" s="20"/>
      <c r="E76" s="24"/>
      <c r="F76" s="25"/>
      <c r="G76" s="24"/>
      <c r="H76" s="33" t="str">
        <f aca="true">IF(OR($F76="",$G76="完了",$G76="中止"),"",$F76-TODAY())</f>
        <v/>
      </c>
      <c r="I76" s="25"/>
      <c r="J76" s="20"/>
    </row>
    <row r="77" customFormat="false" ht="15" hidden="false" customHeight="false" outlineLevel="0" collapsed="false">
      <c r="A77" s="25"/>
      <c r="B77" s="20"/>
      <c r="C77" s="24"/>
      <c r="D77" s="20"/>
      <c r="E77" s="24"/>
      <c r="F77" s="25"/>
      <c r="G77" s="24"/>
      <c r="H77" s="33" t="str">
        <f aca="true">IF(OR($F77="",$G77="完了",$G77="中止"),"",$F77-TODAY())</f>
        <v/>
      </c>
      <c r="I77" s="25"/>
      <c r="J77" s="20"/>
    </row>
    <row r="78" customFormat="false" ht="15" hidden="false" customHeight="false" outlineLevel="0" collapsed="false">
      <c r="A78" s="25"/>
      <c r="B78" s="20"/>
      <c r="C78" s="24"/>
      <c r="D78" s="20"/>
      <c r="E78" s="24"/>
      <c r="F78" s="25"/>
      <c r="G78" s="24"/>
      <c r="H78" s="33" t="str">
        <f aca="true">IF(OR($F78="",$G78="完了",$G78="中止"),"",$F78-TODAY())</f>
        <v/>
      </c>
      <c r="I78" s="25"/>
      <c r="J78" s="20"/>
    </row>
    <row r="79" customFormat="false" ht="15" hidden="false" customHeight="false" outlineLevel="0" collapsed="false">
      <c r="A79" s="25"/>
      <c r="B79" s="20"/>
      <c r="C79" s="24"/>
      <c r="D79" s="20"/>
      <c r="E79" s="24"/>
      <c r="F79" s="25"/>
      <c r="G79" s="24"/>
      <c r="H79" s="33" t="str">
        <f aca="true">IF(OR($F79="",$G79="完了",$G79="中止"),"",$F79-TODAY())</f>
        <v/>
      </c>
      <c r="I79" s="25"/>
      <c r="J79" s="20"/>
    </row>
    <row r="80" customFormat="false" ht="15" hidden="false" customHeight="false" outlineLevel="0" collapsed="false">
      <c r="A80" s="25"/>
      <c r="B80" s="20"/>
      <c r="C80" s="24"/>
      <c r="D80" s="20"/>
      <c r="E80" s="24"/>
      <c r="F80" s="25"/>
      <c r="G80" s="24"/>
      <c r="H80" s="33" t="str">
        <f aca="true">IF(OR($F80="",$G80="完了",$G80="中止"),"",$F80-TODAY())</f>
        <v/>
      </c>
      <c r="I80" s="25"/>
      <c r="J80" s="20"/>
    </row>
    <row r="81" customFormat="false" ht="15" hidden="false" customHeight="false" outlineLevel="0" collapsed="false">
      <c r="A81" s="25"/>
      <c r="B81" s="20"/>
      <c r="C81" s="24"/>
      <c r="D81" s="20"/>
      <c r="E81" s="24"/>
      <c r="F81" s="25"/>
      <c r="G81" s="24"/>
      <c r="H81" s="33" t="str">
        <f aca="true">IF(OR($F81="",$G81="完了",$G81="中止"),"",$F81-TODAY())</f>
        <v/>
      </c>
      <c r="I81" s="25"/>
      <c r="J81" s="20"/>
    </row>
    <row r="82" customFormat="false" ht="15" hidden="false" customHeight="false" outlineLevel="0" collapsed="false">
      <c r="A82" s="25"/>
      <c r="B82" s="20"/>
      <c r="C82" s="24"/>
      <c r="D82" s="20"/>
      <c r="E82" s="24"/>
      <c r="F82" s="25"/>
      <c r="G82" s="24"/>
      <c r="H82" s="33" t="str">
        <f aca="true">IF(OR($F82="",$G82="完了",$G82="中止"),"",$F82-TODAY())</f>
        <v/>
      </c>
      <c r="I82" s="25"/>
      <c r="J82" s="20"/>
    </row>
    <row r="83" customFormat="false" ht="15" hidden="false" customHeight="false" outlineLevel="0" collapsed="false">
      <c r="A83" s="25"/>
      <c r="B83" s="20"/>
      <c r="C83" s="24"/>
      <c r="D83" s="20"/>
      <c r="E83" s="24"/>
      <c r="F83" s="25"/>
      <c r="G83" s="24"/>
      <c r="H83" s="33" t="str">
        <f aca="true">IF(OR($F83="",$G83="完了",$G83="中止"),"",$F83-TODAY())</f>
        <v/>
      </c>
      <c r="I83" s="25"/>
      <c r="J83" s="20"/>
    </row>
    <row r="84" customFormat="false" ht="15" hidden="false" customHeight="false" outlineLevel="0" collapsed="false">
      <c r="A84" s="25"/>
      <c r="B84" s="20"/>
      <c r="C84" s="24"/>
      <c r="D84" s="20"/>
      <c r="E84" s="24"/>
      <c r="F84" s="25"/>
      <c r="G84" s="24"/>
      <c r="H84" s="33" t="str">
        <f aca="true">IF(OR($F84="",$G84="完了",$G84="中止"),"",$F84-TODAY())</f>
        <v/>
      </c>
      <c r="I84" s="25"/>
      <c r="J84" s="20"/>
    </row>
    <row r="85" customFormat="false" ht="15" hidden="false" customHeight="false" outlineLevel="0" collapsed="false">
      <c r="A85" s="25"/>
      <c r="B85" s="20"/>
      <c r="C85" s="24"/>
      <c r="D85" s="20"/>
      <c r="E85" s="24"/>
      <c r="F85" s="25"/>
      <c r="G85" s="24"/>
      <c r="H85" s="33" t="str">
        <f aca="true">IF(OR($F85="",$G85="完了",$G85="中止"),"",$F85-TODAY())</f>
        <v/>
      </c>
      <c r="I85" s="25"/>
      <c r="J85" s="20"/>
    </row>
    <row r="86" customFormat="false" ht="15" hidden="false" customHeight="false" outlineLevel="0" collapsed="false">
      <c r="A86" s="25"/>
      <c r="B86" s="20"/>
      <c r="C86" s="24"/>
      <c r="D86" s="20"/>
      <c r="E86" s="24"/>
      <c r="F86" s="25"/>
      <c r="G86" s="24"/>
      <c r="H86" s="33" t="str">
        <f aca="true">IF(OR($F86="",$G86="完了",$G86="中止"),"",$F86-TODAY())</f>
        <v/>
      </c>
      <c r="I86" s="25"/>
      <c r="J86" s="20"/>
    </row>
    <row r="87" customFormat="false" ht="15" hidden="false" customHeight="false" outlineLevel="0" collapsed="false">
      <c r="A87" s="25"/>
      <c r="B87" s="20"/>
      <c r="C87" s="24"/>
      <c r="D87" s="20"/>
      <c r="E87" s="24"/>
      <c r="F87" s="25"/>
      <c r="G87" s="24"/>
      <c r="H87" s="33" t="str">
        <f aca="true">IF(OR($F87="",$G87="完了",$G87="中止"),"",$F87-TODAY())</f>
        <v/>
      </c>
      <c r="I87" s="25"/>
      <c r="J87" s="20"/>
    </row>
    <row r="88" customFormat="false" ht="15" hidden="false" customHeight="false" outlineLevel="0" collapsed="false">
      <c r="A88" s="25"/>
      <c r="B88" s="20"/>
      <c r="C88" s="24"/>
      <c r="D88" s="20"/>
      <c r="E88" s="24"/>
      <c r="F88" s="25"/>
      <c r="G88" s="24"/>
      <c r="H88" s="33" t="str">
        <f aca="true">IF(OR($F88="",$G88="完了",$G88="中止"),"",$F88-TODAY())</f>
        <v/>
      </c>
      <c r="I88" s="25"/>
      <c r="J88" s="20"/>
    </row>
    <row r="89" customFormat="false" ht="15" hidden="false" customHeight="false" outlineLevel="0" collapsed="false">
      <c r="A89" s="25"/>
      <c r="B89" s="20"/>
      <c r="C89" s="24"/>
      <c r="D89" s="20"/>
      <c r="E89" s="24"/>
      <c r="F89" s="25"/>
      <c r="G89" s="24"/>
      <c r="H89" s="33" t="str">
        <f aca="true">IF(OR($F89="",$G89="完了",$G89="中止"),"",$F89-TODAY())</f>
        <v/>
      </c>
      <c r="I89" s="25"/>
      <c r="J89" s="20"/>
    </row>
    <row r="90" customFormat="false" ht="15" hidden="false" customHeight="false" outlineLevel="0" collapsed="false">
      <c r="A90" s="25"/>
      <c r="B90" s="20"/>
      <c r="C90" s="24"/>
      <c r="D90" s="20"/>
      <c r="E90" s="24"/>
      <c r="F90" s="25"/>
      <c r="G90" s="24"/>
      <c r="H90" s="33" t="str">
        <f aca="true">IF(OR($F90="",$G90="完了",$G90="中止"),"",$F90-TODAY())</f>
        <v/>
      </c>
      <c r="I90" s="25"/>
      <c r="J90" s="20"/>
    </row>
    <row r="91" customFormat="false" ht="15" hidden="false" customHeight="false" outlineLevel="0" collapsed="false">
      <c r="A91" s="25"/>
      <c r="B91" s="20"/>
      <c r="C91" s="24"/>
      <c r="D91" s="20"/>
      <c r="E91" s="24"/>
      <c r="F91" s="25"/>
      <c r="G91" s="24"/>
      <c r="H91" s="33" t="str">
        <f aca="true">IF(OR($F91="",$G91="完了",$G91="中止"),"",$F91-TODAY())</f>
        <v/>
      </c>
      <c r="I91" s="25"/>
      <c r="J91" s="20"/>
    </row>
    <row r="92" customFormat="false" ht="15" hidden="false" customHeight="false" outlineLevel="0" collapsed="false">
      <c r="A92" s="25"/>
      <c r="B92" s="20"/>
      <c r="C92" s="24"/>
      <c r="D92" s="20"/>
      <c r="E92" s="24"/>
      <c r="F92" s="25"/>
      <c r="G92" s="24"/>
      <c r="H92" s="33" t="str">
        <f aca="true">IF(OR($F92="",$G92="完了",$G92="中止"),"",$F92-TODAY())</f>
        <v/>
      </c>
      <c r="I92" s="25"/>
      <c r="J92" s="20"/>
    </row>
    <row r="93" customFormat="false" ht="15" hidden="false" customHeight="false" outlineLevel="0" collapsed="false">
      <c r="A93" s="25"/>
      <c r="B93" s="20"/>
      <c r="C93" s="24"/>
      <c r="D93" s="20"/>
      <c r="E93" s="24"/>
      <c r="F93" s="25"/>
      <c r="G93" s="24"/>
      <c r="H93" s="33" t="str">
        <f aca="true">IF(OR($F93="",$G93="完了",$G93="中止"),"",$F93-TODAY())</f>
        <v/>
      </c>
      <c r="I93" s="25"/>
      <c r="J93" s="20"/>
    </row>
    <row r="94" customFormat="false" ht="15" hidden="false" customHeight="false" outlineLevel="0" collapsed="false">
      <c r="A94" s="25"/>
      <c r="B94" s="20"/>
      <c r="C94" s="24"/>
      <c r="D94" s="20"/>
      <c r="E94" s="24"/>
      <c r="F94" s="25"/>
      <c r="G94" s="24"/>
      <c r="H94" s="33" t="str">
        <f aca="true">IF(OR($F94="",$G94="完了",$G94="中止"),"",$F94-TODAY())</f>
        <v/>
      </c>
      <c r="I94" s="25"/>
      <c r="J94" s="20"/>
    </row>
    <row r="95" customFormat="false" ht="15" hidden="false" customHeight="false" outlineLevel="0" collapsed="false">
      <c r="A95" s="25"/>
      <c r="B95" s="20"/>
      <c r="C95" s="24"/>
      <c r="D95" s="20"/>
      <c r="E95" s="24"/>
      <c r="F95" s="25"/>
      <c r="G95" s="24"/>
      <c r="H95" s="33" t="str">
        <f aca="true">IF(OR($F95="",$G95="完了",$G95="中止"),"",$F95-TODAY())</f>
        <v/>
      </c>
      <c r="I95" s="25"/>
      <c r="J95" s="20"/>
    </row>
    <row r="96" customFormat="false" ht="15" hidden="false" customHeight="false" outlineLevel="0" collapsed="false">
      <c r="A96" s="25"/>
      <c r="B96" s="20"/>
      <c r="C96" s="24"/>
      <c r="D96" s="20"/>
      <c r="E96" s="24"/>
      <c r="F96" s="25"/>
      <c r="G96" s="24"/>
      <c r="H96" s="33" t="str">
        <f aca="true">IF(OR($F96="",$G96="完了",$G96="中止"),"",$F96-TODAY())</f>
        <v/>
      </c>
      <c r="I96" s="25"/>
      <c r="J96" s="20"/>
    </row>
    <row r="97" customFormat="false" ht="15" hidden="false" customHeight="false" outlineLevel="0" collapsed="false">
      <c r="A97" s="25"/>
      <c r="B97" s="20"/>
      <c r="C97" s="24"/>
      <c r="D97" s="20"/>
      <c r="E97" s="24"/>
      <c r="F97" s="25"/>
      <c r="G97" s="24"/>
      <c r="H97" s="33" t="str">
        <f aca="true">IF(OR($F97="",$G97="完了",$G97="中止"),"",$F97-TODAY())</f>
        <v/>
      </c>
      <c r="I97" s="25"/>
      <c r="J97" s="20"/>
    </row>
    <row r="98" customFormat="false" ht="15" hidden="false" customHeight="false" outlineLevel="0" collapsed="false">
      <c r="A98" s="25"/>
      <c r="B98" s="20"/>
      <c r="C98" s="24"/>
      <c r="D98" s="20"/>
      <c r="E98" s="24"/>
      <c r="F98" s="25"/>
      <c r="G98" s="24"/>
      <c r="H98" s="33" t="str">
        <f aca="true">IF(OR($F98="",$G98="完了",$G98="中止"),"",$F98-TODAY())</f>
        <v/>
      </c>
      <c r="I98" s="25"/>
      <c r="J98" s="20"/>
    </row>
    <row r="99" customFormat="false" ht="15" hidden="false" customHeight="false" outlineLevel="0" collapsed="false">
      <c r="A99" s="25"/>
      <c r="B99" s="20"/>
      <c r="C99" s="24"/>
      <c r="D99" s="20"/>
      <c r="E99" s="24"/>
      <c r="F99" s="25"/>
      <c r="G99" s="24"/>
      <c r="H99" s="33" t="str">
        <f aca="true">IF(OR($F99="",$G99="完了",$G99="中止"),"",$F99-TODAY())</f>
        <v/>
      </c>
      <c r="I99" s="25"/>
      <c r="J99" s="20"/>
    </row>
    <row r="100" customFormat="false" ht="15" hidden="false" customHeight="false" outlineLevel="0" collapsed="false">
      <c r="A100" s="25"/>
      <c r="B100" s="20"/>
      <c r="C100" s="24"/>
      <c r="D100" s="20"/>
      <c r="E100" s="24"/>
      <c r="F100" s="25"/>
      <c r="G100" s="24"/>
      <c r="H100" s="33" t="str">
        <f aca="true">IF(OR($F100="",$G100="完了",$G100="中止"),"",$F100-TODAY())</f>
        <v/>
      </c>
      <c r="I100" s="25"/>
      <c r="J100" s="20"/>
    </row>
    <row r="101" customFormat="false" ht="15" hidden="false" customHeight="false" outlineLevel="0" collapsed="false">
      <c r="A101" s="25"/>
      <c r="B101" s="20"/>
      <c r="C101" s="24"/>
      <c r="D101" s="20"/>
      <c r="E101" s="24"/>
      <c r="F101" s="25"/>
      <c r="G101" s="24"/>
      <c r="H101" s="33" t="str">
        <f aca="true">IF(OR($F101="",$G101="完了",$G101="中止"),"",$F101-TODAY())</f>
        <v/>
      </c>
      <c r="I101" s="25"/>
      <c r="J101" s="20"/>
    </row>
    <row r="102" customFormat="false" ht="15" hidden="false" customHeight="false" outlineLevel="0" collapsed="false">
      <c r="A102" s="25"/>
      <c r="B102" s="20"/>
      <c r="C102" s="24"/>
      <c r="D102" s="20"/>
      <c r="E102" s="24"/>
      <c r="F102" s="25"/>
      <c r="G102" s="24"/>
      <c r="H102" s="33" t="str">
        <f aca="true">IF(OR($F102="",$G102="完了",$G102="中止"),"",$F102-TODAY())</f>
        <v/>
      </c>
      <c r="I102" s="25"/>
      <c r="J102" s="20"/>
    </row>
    <row r="103" customFormat="false" ht="15" hidden="false" customHeight="false" outlineLevel="0" collapsed="false">
      <c r="A103" s="25"/>
      <c r="B103" s="20"/>
      <c r="C103" s="24"/>
      <c r="D103" s="20"/>
      <c r="E103" s="24"/>
      <c r="F103" s="25"/>
      <c r="G103" s="24"/>
      <c r="H103" s="33" t="str">
        <f aca="true">IF(OR($F103="",$G103="完了",$G103="中止"),"",$F103-TODAY())</f>
        <v/>
      </c>
      <c r="I103" s="25"/>
      <c r="J103" s="20"/>
    </row>
    <row r="104" customFormat="false" ht="15" hidden="false" customHeight="false" outlineLevel="0" collapsed="false">
      <c r="A104" s="25"/>
      <c r="B104" s="20"/>
      <c r="C104" s="24"/>
      <c r="D104" s="20"/>
      <c r="E104" s="24"/>
      <c r="F104" s="25"/>
      <c r="G104" s="24"/>
      <c r="H104" s="33" t="str">
        <f aca="true">IF(OR($F104="",$G104="完了",$G104="中止"),"",$F104-TODAY())</f>
        <v/>
      </c>
      <c r="I104" s="25"/>
      <c r="J104" s="20"/>
    </row>
    <row r="105" customFormat="false" ht="15" hidden="false" customHeight="false" outlineLevel="0" collapsed="false">
      <c r="A105" s="25"/>
      <c r="B105" s="20"/>
      <c r="C105" s="24"/>
      <c r="D105" s="20"/>
      <c r="E105" s="24"/>
      <c r="F105" s="25"/>
      <c r="G105" s="24"/>
      <c r="H105" s="33" t="str">
        <f aca="true">IF(OR($F105="",$G105="完了",$G105="中止"),"",$F105-TODAY())</f>
        <v/>
      </c>
      <c r="I105" s="25"/>
      <c r="J105" s="20"/>
    </row>
    <row r="106" customFormat="false" ht="15" hidden="false" customHeight="false" outlineLevel="0" collapsed="false">
      <c r="A106" s="25"/>
      <c r="B106" s="20"/>
      <c r="C106" s="24"/>
      <c r="D106" s="20"/>
      <c r="E106" s="24"/>
      <c r="F106" s="25"/>
      <c r="G106" s="24"/>
      <c r="H106" s="33" t="str">
        <f aca="true">IF(OR($F106="",$G106="完了",$G106="中止"),"",$F106-TODAY())</f>
        <v/>
      </c>
      <c r="I106" s="25"/>
      <c r="J106" s="20"/>
    </row>
    <row r="107" customFormat="false" ht="15" hidden="false" customHeight="false" outlineLevel="0" collapsed="false">
      <c r="A107" s="25"/>
      <c r="B107" s="20"/>
      <c r="C107" s="24"/>
      <c r="D107" s="20"/>
      <c r="E107" s="24"/>
      <c r="F107" s="25"/>
      <c r="G107" s="24"/>
      <c r="H107" s="33" t="str">
        <f aca="true">IF(OR($F107="",$G107="完了",$G107="中止"),"",$F107-TODAY())</f>
        <v/>
      </c>
      <c r="I107" s="25"/>
      <c r="J107" s="20"/>
    </row>
    <row r="108" customFormat="false" ht="15" hidden="false" customHeight="false" outlineLevel="0" collapsed="false">
      <c r="A108" s="25"/>
      <c r="B108" s="20"/>
      <c r="C108" s="24"/>
      <c r="D108" s="20"/>
      <c r="E108" s="24"/>
      <c r="F108" s="25"/>
      <c r="G108" s="24"/>
      <c r="H108" s="33" t="str">
        <f aca="true">IF(OR($F108="",$G108="完了",$G108="中止"),"",$F108-TODAY())</f>
        <v/>
      </c>
      <c r="I108" s="25"/>
      <c r="J108" s="20"/>
    </row>
    <row r="109" customFormat="false" ht="15" hidden="false" customHeight="false" outlineLevel="0" collapsed="false">
      <c r="A109" s="25"/>
      <c r="B109" s="20"/>
      <c r="C109" s="24"/>
      <c r="D109" s="20"/>
      <c r="E109" s="24"/>
      <c r="F109" s="25"/>
      <c r="G109" s="24"/>
      <c r="H109" s="33" t="str">
        <f aca="true">IF(OR($F109="",$G109="完了",$G109="中止"),"",$F109-TODAY())</f>
        <v/>
      </c>
      <c r="I109" s="25"/>
      <c r="J109" s="20"/>
    </row>
    <row r="110" customFormat="false" ht="15" hidden="false" customHeight="false" outlineLevel="0" collapsed="false">
      <c r="A110" s="25"/>
      <c r="B110" s="20"/>
      <c r="C110" s="24"/>
      <c r="D110" s="20"/>
      <c r="E110" s="24"/>
      <c r="F110" s="25"/>
      <c r="G110" s="24"/>
      <c r="H110" s="33" t="str">
        <f aca="true">IF(OR($F110="",$G110="完了",$G110="中止"),"",$F110-TODAY())</f>
        <v/>
      </c>
      <c r="I110" s="25"/>
      <c r="J110" s="20"/>
    </row>
    <row r="111" customFormat="false" ht="15" hidden="false" customHeight="false" outlineLevel="0" collapsed="false">
      <c r="A111" s="25"/>
      <c r="B111" s="20"/>
      <c r="C111" s="24"/>
      <c r="D111" s="20"/>
      <c r="E111" s="24"/>
      <c r="F111" s="25"/>
      <c r="G111" s="24"/>
      <c r="H111" s="33" t="str">
        <f aca="true">IF(OR($F111="",$G111="完了",$G111="中止"),"",$F111-TODAY())</f>
        <v/>
      </c>
      <c r="I111" s="25"/>
      <c r="J111" s="20"/>
    </row>
    <row r="112" customFormat="false" ht="15" hidden="false" customHeight="false" outlineLevel="0" collapsed="false">
      <c r="A112" s="25"/>
      <c r="B112" s="20"/>
      <c r="C112" s="24"/>
      <c r="D112" s="20"/>
      <c r="E112" s="24"/>
      <c r="F112" s="25"/>
      <c r="G112" s="24"/>
      <c r="H112" s="33" t="str">
        <f aca="true">IF(OR($F112="",$G112="完了",$G112="中止"),"",$F112-TODAY())</f>
        <v/>
      </c>
      <c r="I112" s="25"/>
      <c r="J112" s="20"/>
    </row>
    <row r="113" customFormat="false" ht="15" hidden="false" customHeight="false" outlineLevel="0" collapsed="false">
      <c r="A113" s="25"/>
      <c r="B113" s="20"/>
      <c r="C113" s="24"/>
      <c r="D113" s="20"/>
      <c r="E113" s="24"/>
      <c r="F113" s="25"/>
      <c r="G113" s="24"/>
      <c r="H113" s="33" t="str">
        <f aca="true">IF(OR($F113="",$G113="完了",$G113="中止"),"",$F113-TODAY())</f>
        <v/>
      </c>
      <c r="I113" s="25"/>
      <c r="J113" s="20"/>
    </row>
    <row r="114" customFormat="false" ht="15" hidden="false" customHeight="false" outlineLevel="0" collapsed="false">
      <c r="A114" s="25"/>
      <c r="B114" s="20"/>
      <c r="C114" s="24"/>
      <c r="D114" s="20"/>
      <c r="E114" s="24"/>
      <c r="F114" s="25"/>
      <c r="G114" s="24"/>
      <c r="H114" s="33" t="str">
        <f aca="true">IF(OR($F114="",$G114="完了",$G114="中止"),"",$F114-TODAY())</f>
        <v/>
      </c>
      <c r="I114" s="25"/>
      <c r="J114" s="20"/>
    </row>
    <row r="115" customFormat="false" ht="15" hidden="false" customHeight="false" outlineLevel="0" collapsed="false">
      <c r="A115" s="25"/>
      <c r="B115" s="20"/>
      <c r="C115" s="24"/>
      <c r="D115" s="20"/>
      <c r="E115" s="24"/>
      <c r="F115" s="25"/>
      <c r="G115" s="24"/>
      <c r="H115" s="33" t="str">
        <f aca="true">IF(OR($F115="",$G115="完了",$G115="中止"),"",$F115-TODAY())</f>
        <v/>
      </c>
      <c r="I115" s="25"/>
      <c r="J115" s="20"/>
    </row>
    <row r="116" customFormat="false" ht="15" hidden="false" customHeight="false" outlineLevel="0" collapsed="false">
      <c r="A116" s="25"/>
      <c r="B116" s="20"/>
      <c r="C116" s="24"/>
      <c r="D116" s="20"/>
      <c r="E116" s="24"/>
      <c r="F116" s="25"/>
      <c r="G116" s="24"/>
      <c r="H116" s="33" t="str">
        <f aca="true">IF(OR($F116="",$G116="完了",$G116="中止"),"",$F116-TODAY())</f>
        <v/>
      </c>
      <c r="I116" s="25"/>
      <c r="J116" s="20"/>
    </row>
    <row r="117" customFormat="false" ht="15" hidden="false" customHeight="false" outlineLevel="0" collapsed="false">
      <c r="A117" s="25"/>
      <c r="B117" s="20"/>
      <c r="C117" s="24"/>
      <c r="D117" s="20"/>
      <c r="E117" s="24"/>
      <c r="F117" s="25"/>
      <c r="G117" s="24"/>
      <c r="H117" s="33" t="str">
        <f aca="true">IF(OR($F117="",$G117="完了",$G117="中止"),"",$F117-TODAY())</f>
        <v/>
      </c>
      <c r="I117" s="25"/>
      <c r="J117" s="20"/>
    </row>
    <row r="118" customFormat="false" ht="15" hidden="false" customHeight="false" outlineLevel="0" collapsed="false">
      <c r="A118" s="25"/>
      <c r="B118" s="20"/>
      <c r="C118" s="24"/>
      <c r="D118" s="20"/>
      <c r="E118" s="24"/>
      <c r="F118" s="25"/>
      <c r="G118" s="24"/>
      <c r="H118" s="33" t="str">
        <f aca="true">IF(OR($F118="",$G118="完了",$G118="中止"),"",$F118-TODAY())</f>
        <v/>
      </c>
      <c r="I118" s="25"/>
      <c r="J118" s="20"/>
    </row>
    <row r="119" customFormat="false" ht="15" hidden="false" customHeight="false" outlineLevel="0" collapsed="false">
      <c r="A119" s="25"/>
      <c r="B119" s="20"/>
      <c r="C119" s="24"/>
      <c r="D119" s="20"/>
      <c r="E119" s="24"/>
      <c r="F119" s="25"/>
      <c r="G119" s="24"/>
      <c r="H119" s="33" t="str">
        <f aca="true">IF(OR($F119="",$G119="完了",$G119="中止"),"",$F119-TODAY())</f>
        <v/>
      </c>
      <c r="I119" s="25"/>
      <c r="J119" s="20"/>
    </row>
    <row r="120" customFormat="false" ht="15" hidden="false" customHeight="false" outlineLevel="0" collapsed="false">
      <c r="A120" s="25"/>
      <c r="B120" s="20"/>
      <c r="C120" s="24"/>
      <c r="D120" s="20"/>
      <c r="E120" s="24"/>
      <c r="F120" s="25"/>
      <c r="G120" s="24"/>
      <c r="H120" s="33" t="str">
        <f aca="true">IF(OR($F120="",$G120="完了",$G120="中止"),"",$F120-TODAY())</f>
        <v/>
      </c>
      <c r="I120" s="25"/>
      <c r="J120" s="20"/>
    </row>
    <row r="121" customFormat="false" ht="15" hidden="false" customHeight="false" outlineLevel="0" collapsed="false">
      <c r="A121" s="25"/>
      <c r="B121" s="20"/>
      <c r="C121" s="24"/>
      <c r="D121" s="20"/>
      <c r="E121" s="24"/>
      <c r="F121" s="25"/>
      <c r="G121" s="24"/>
      <c r="H121" s="33" t="str">
        <f aca="true">IF(OR($F121="",$G121="完了",$G121="中止"),"",$F121-TODAY())</f>
        <v/>
      </c>
      <c r="I121" s="25"/>
      <c r="J121" s="20"/>
    </row>
    <row r="122" customFormat="false" ht="15" hidden="false" customHeight="false" outlineLevel="0" collapsed="false">
      <c r="A122" s="25"/>
      <c r="B122" s="20"/>
      <c r="C122" s="24"/>
      <c r="D122" s="20"/>
      <c r="E122" s="24"/>
      <c r="F122" s="25"/>
      <c r="G122" s="24"/>
      <c r="H122" s="33" t="str">
        <f aca="true">IF(OR($F122="",$G122="完了",$G122="中止"),"",$F122-TODAY())</f>
        <v/>
      </c>
      <c r="I122" s="25"/>
      <c r="J122" s="20"/>
    </row>
    <row r="123" customFormat="false" ht="15" hidden="false" customHeight="false" outlineLevel="0" collapsed="false">
      <c r="A123" s="25"/>
      <c r="B123" s="20"/>
      <c r="C123" s="24"/>
      <c r="D123" s="20"/>
      <c r="E123" s="24"/>
      <c r="F123" s="25"/>
      <c r="G123" s="24"/>
      <c r="H123" s="33" t="str">
        <f aca="true">IF(OR($F123="",$G123="完了",$G123="中止"),"",$F123-TODAY())</f>
        <v/>
      </c>
      <c r="I123" s="25"/>
      <c r="J123" s="20"/>
    </row>
    <row r="124" customFormat="false" ht="15" hidden="false" customHeight="false" outlineLevel="0" collapsed="false">
      <c r="A124" s="25"/>
      <c r="B124" s="20"/>
      <c r="C124" s="24"/>
      <c r="D124" s="20"/>
      <c r="E124" s="24"/>
      <c r="F124" s="25"/>
      <c r="G124" s="24"/>
      <c r="H124" s="33" t="str">
        <f aca="true">IF(OR($F124="",$G124="完了",$G124="中止"),"",$F124-TODAY())</f>
        <v/>
      </c>
      <c r="I124" s="25"/>
      <c r="J124" s="20"/>
    </row>
    <row r="125" customFormat="false" ht="15" hidden="false" customHeight="false" outlineLevel="0" collapsed="false">
      <c r="A125" s="25"/>
      <c r="B125" s="20"/>
      <c r="C125" s="24"/>
      <c r="D125" s="20"/>
      <c r="E125" s="24"/>
      <c r="F125" s="25"/>
      <c r="G125" s="24"/>
      <c r="H125" s="33" t="str">
        <f aca="true">IF(OR($F125="",$G125="完了",$G125="中止"),"",$F125-TODAY())</f>
        <v/>
      </c>
      <c r="I125" s="25"/>
      <c r="J125" s="20"/>
    </row>
    <row r="126" customFormat="false" ht="15" hidden="false" customHeight="false" outlineLevel="0" collapsed="false">
      <c r="A126" s="25"/>
      <c r="B126" s="20"/>
      <c r="C126" s="24"/>
      <c r="D126" s="20"/>
      <c r="E126" s="24"/>
      <c r="F126" s="25"/>
      <c r="G126" s="24"/>
      <c r="H126" s="33" t="str">
        <f aca="true">IF(OR($F126="",$G126="完了",$G126="中止"),"",$F126-TODAY())</f>
        <v/>
      </c>
      <c r="I126" s="25"/>
      <c r="J126" s="20"/>
    </row>
    <row r="127" customFormat="false" ht="15" hidden="false" customHeight="false" outlineLevel="0" collapsed="false">
      <c r="A127" s="25"/>
      <c r="B127" s="20"/>
      <c r="C127" s="24"/>
      <c r="D127" s="20"/>
      <c r="E127" s="24"/>
      <c r="F127" s="25"/>
      <c r="G127" s="24"/>
      <c r="H127" s="33" t="str">
        <f aca="true">IF(OR($F127="",$G127="完了",$G127="中止"),"",$F127-TODAY())</f>
        <v/>
      </c>
      <c r="I127" s="25"/>
      <c r="J127" s="20"/>
    </row>
    <row r="128" customFormat="false" ht="15" hidden="false" customHeight="false" outlineLevel="0" collapsed="false">
      <c r="A128" s="25"/>
      <c r="B128" s="20"/>
      <c r="C128" s="24"/>
      <c r="D128" s="20"/>
      <c r="E128" s="24"/>
      <c r="F128" s="25"/>
      <c r="G128" s="24"/>
      <c r="H128" s="33" t="str">
        <f aca="true">IF(OR($F128="",$G128="完了",$G128="中止"),"",$F128-TODAY())</f>
        <v/>
      </c>
      <c r="I128" s="25"/>
      <c r="J128" s="20"/>
    </row>
    <row r="129" customFormat="false" ht="15" hidden="false" customHeight="false" outlineLevel="0" collapsed="false">
      <c r="A129" s="25"/>
      <c r="B129" s="20"/>
      <c r="C129" s="24"/>
      <c r="D129" s="20"/>
      <c r="E129" s="24"/>
      <c r="F129" s="25"/>
      <c r="G129" s="24"/>
      <c r="H129" s="33" t="str">
        <f aca="true">IF(OR($F129="",$G129="完了",$G129="中止"),"",$F129-TODAY())</f>
        <v/>
      </c>
      <c r="I129" s="25"/>
      <c r="J129" s="20"/>
    </row>
    <row r="130" customFormat="false" ht="15" hidden="false" customHeight="false" outlineLevel="0" collapsed="false">
      <c r="A130" s="25"/>
      <c r="B130" s="20"/>
      <c r="C130" s="24"/>
      <c r="D130" s="20"/>
      <c r="E130" s="24"/>
      <c r="F130" s="25"/>
      <c r="G130" s="24"/>
      <c r="H130" s="33" t="str">
        <f aca="true">IF(OR($F130="",$G130="完了",$G130="中止"),"",$F130-TODAY())</f>
        <v/>
      </c>
      <c r="I130" s="25"/>
      <c r="J130" s="20"/>
    </row>
    <row r="131" customFormat="false" ht="15" hidden="false" customHeight="false" outlineLevel="0" collapsed="false">
      <c r="A131" s="25"/>
      <c r="B131" s="20"/>
      <c r="C131" s="24"/>
      <c r="D131" s="20"/>
      <c r="E131" s="24"/>
      <c r="F131" s="25"/>
      <c r="G131" s="24"/>
      <c r="H131" s="33" t="str">
        <f aca="true">IF(OR($F131="",$G131="完了",$G131="中止"),"",$F131-TODAY())</f>
        <v/>
      </c>
      <c r="I131" s="25"/>
      <c r="J131" s="20"/>
    </row>
    <row r="132" customFormat="false" ht="15" hidden="false" customHeight="false" outlineLevel="0" collapsed="false">
      <c r="A132" s="25"/>
      <c r="B132" s="20"/>
      <c r="C132" s="24"/>
      <c r="D132" s="20"/>
      <c r="E132" s="24"/>
      <c r="F132" s="25"/>
      <c r="G132" s="24"/>
      <c r="H132" s="33" t="str">
        <f aca="true">IF(OR($F132="",$G132="完了",$G132="中止"),"",$F132-TODAY())</f>
        <v/>
      </c>
      <c r="I132" s="25"/>
      <c r="J132" s="20"/>
    </row>
    <row r="133" customFormat="false" ht="15" hidden="false" customHeight="false" outlineLevel="0" collapsed="false">
      <c r="A133" s="25"/>
      <c r="B133" s="20"/>
      <c r="C133" s="24"/>
      <c r="D133" s="20"/>
      <c r="E133" s="24"/>
      <c r="F133" s="25"/>
      <c r="G133" s="24"/>
      <c r="H133" s="33" t="str">
        <f aca="true">IF(OR($F133="",$G133="完了",$G133="中止"),"",$F133-TODAY())</f>
        <v/>
      </c>
      <c r="I133" s="25"/>
      <c r="J133" s="20"/>
    </row>
    <row r="134" customFormat="false" ht="15" hidden="false" customHeight="false" outlineLevel="0" collapsed="false">
      <c r="A134" s="25"/>
      <c r="B134" s="20"/>
      <c r="C134" s="24"/>
      <c r="D134" s="20"/>
      <c r="E134" s="24"/>
      <c r="F134" s="25"/>
      <c r="G134" s="24"/>
      <c r="H134" s="33" t="str">
        <f aca="true">IF(OR($F134="",$G134="完了",$G134="中止"),"",$F134-TODAY())</f>
        <v/>
      </c>
      <c r="I134" s="25"/>
      <c r="J134" s="20"/>
    </row>
    <row r="135" customFormat="false" ht="15" hidden="false" customHeight="false" outlineLevel="0" collapsed="false">
      <c r="A135" s="25"/>
      <c r="B135" s="20"/>
      <c r="C135" s="24"/>
      <c r="D135" s="20"/>
      <c r="E135" s="24"/>
      <c r="F135" s="25"/>
      <c r="G135" s="24"/>
      <c r="H135" s="33" t="str">
        <f aca="true">IF(OR($F135="",$G135="完了",$G135="中止"),"",$F135-TODAY())</f>
        <v/>
      </c>
      <c r="I135" s="25"/>
      <c r="J135" s="20"/>
    </row>
    <row r="136" customFormat="false" ht="15" hidden="false" customHeight="false" outlineLevel="0" collapsed="false">
      <c r="A136" s="25"/>
      <c r="B136" s="20"/>
      <c r="C136" s="24"/>
      <c r="D136" s="20"/>
      <c r="E136" s="24"/>
      <c r="F136" s="25"/>
      <c r="G136" s="24"/>
      <c r="H136" s="33" t="str">
        <f aca="true">IF(OR($F136="",$G136="完了",$G136="中止"),"",$F136-TODAY())</f>
        <v/>
      </c>
      <c r="I136" s="25"/>
      <c r="J136" s="20"/>
    </row>
    <row r="137" customFormat="false" ht="15" hidden="false" customHeight="false" outlineLevel="0" collapsed="false">
      <c r="A137" s="25"/>
      <c r="B137" s="20"/>
      <c r="C137" s="24"/>
      <c r="D137" s="20"/>
      <c r="E137" s="24"/>
      <c r="F137" s="25"/>
      <c r="G137" s="24"/>
      <c r="H137" s="33" t="str">
        <f aca="true">IF(OR($F137="",$G137="完了",$G137="中止"),"",$F137-TODAY())</f>
        <v/>
      </c>
      <c r="I137" s="25"/>
      <c r="J137" s="20"/>
    </row>
    <row r="138" customFormat="false" ht="15" hidden="false" customHeight="false" outlineLevel="0" collapsed="false">
      <c r="A138" s="25"/>
      <c r="B138" s="20"/>
      <c r="C138" s="24"/>
      <c r="D138" s="20"/>
      <c r="E138" s="24"/>
      <c r="F138" s="25"/>
      <c r="G138" s="24"/>
      <c r="H138" s="33" t="str">
        <f aca="true">IF(OR($F138="",$G138="完了",$G138="中止"),"",$F138-TODAY())</f>
        <v/>
      </c>
      <c r="I138" s="25"/>
      <c r="J138" s="20"/>
    </row>
    <row r="139" customFormat="false" ht="15" hidden="false" customHeight="false" outlineLevel="0" collapsed="false">
      <c r="A139" s="25"/>
      <c r="B139" s="20"/>
      <c r="C139" s="24"/>
      <c r="D139" s="20"/>
      <c r="E139" s="24"/>
      <c r="F139" s="25"/>
      <c r="G139" s="24"/>
      <c r="H139" s="33" t="str">
        <f aca="true">IF(OR($F139="",$G139="完了",$G139="中止"),"",$F139-TODAY())</f>
        <v/>
      </c>
      <c r="I139" s="25"/>
      <c r="J139" s="20"/>
    </row>
    <row r="140" customFormat="false" ht="15" hidden="false" customHeight="false" outlineLevel="0" collapsed="false">
      <c r="A140" s="25"/>
      <c r="B140" s="20"/>
      <c r="C140" s="24"/>
      <c r="D140" s="20"/>
      <c r="E140" s="24"/>
      <c r="F140" s="25"/>
      <c r="G140" s="24"/>
      <c r="H140" s="33" t="str">
        <f aca="true">IF(OR($F140="",$G140="完了",$G140="中止"),"",$F140-TODAY())</f>
        <v/>
      </c>
      <c r="I140" s="25"/>
      <c r="J140" s="20"/>
    </row>
    <row r="141" customFormat="false" ht="15" hidden="false" customHeight="false" outlineLevel="0" collapsed="false">
      <c r="A141" s="25"/>
      <c r="B141" s="20"/>
      <c r="C141" s="24"/>
      <c r="D141" s="20"/>
      <c r="E141" s="24"/>
      <c r="F141" s="25"/>
      <c r="G141" s="24"/>
      <c r="H141" s="33" t="str">
        <f aca="true">IF(OR($F141="",$G141="完了",$G141="中止"),"",$F141-TODAY())</f>
        <v/>
      </c>
      <c r="I141" s="25"/>
      <c r="J141" s="20"/>
    </row>
    <row r="142" customFormat="false" ht="15" hidden="false" customHeight="false" outlineLevel="0" collapsed="false">
      <c r="A142" s="25"/>
      <c r="B142" s="20"/>
      <c r="C142" s="24"/>
      <c r="D142" s="20"/>
      <c r="E142" s="24"/>
      <c r="F142" s="25"/>
      <c r="G142" s="24"/>
      <c r="H142" s="33" t="str">
        <f aca="true">IF(OR($F142="",$G142="完了",$G142="中止"),"",$F142-TODAY())</f>
        <v/>
      </c>
      <c r="I142" s="25"/>
      <c r="J142" s="20"/>
    </row>
    <row r="143" customFormat="false" ht="15" hidden="false" customHeight="false" outlineLevel="0" collapsed="false">
      <c r="A143" s="25"/>
      <c r="B143" s="20"/>
      <c r="C143" s="24"/>
      <c r="D143" s="20"/>
      <c r="E143" s="24"/>
      <c r="F143" s="25"/>
      <c r="G143" s="24"/>
      <c r="H143" s="33" t="str">
        <f aca="true">IF(OR($F143="",$G143="完了",$G143="中止"),"",$F143-TODAY())</f>
        <v/>
      </c>
      <c r="I143" s="25"/>
      <c r="J143" s="20"/>
    </row>
    <row r="144" customFormat="false" ht="15" hidden="false" customHeight="false" outlineLevel="0" collapsed="false">
      <c r="A144" s="25"/>
      <c r="B144" s="20"/>
      <c r="C144" s="24"/>
      <c r="D144" s="20"/>
      <c r="E144" s="24"/>
      <c r="F144" s="25"/>
      <c r="G144" s="24"/>
      <c r="H144" s="33" t="str">
        <f aca="true">IF(OR($F144="",$G144="完了",$G144="中止"),"",$F144-TODAY())</f>
        <v/>
      </c>
      <c r="I144" s="25"/>
      <c r="J144" s="20"/>
    </row>
    <row r="145" customFormat="false" ht="15" hidden="false" customHeight="false" outlineLevel="0" collapsed="false">
      <c r="A145" s="25"/>
      <c r="B145" s="20"/>
      <c r="C145" s="24"/>
      <c r="D145" s="20"/>
      <c r="E145" s="24"/>
      <c r="F145" s="25"/>
      <c r="G145" s="24"/>
      <c r="H145" s="33" t="str">
        <f aca="true">IF(OR($F145="",$G145="完了",$G145="中止"),"",$F145-TODAY())</f>
        <v/>
      </c>
      <c r="I145" s="25"/>
      <c r="J145" s="20"/>
    </row>
    <row r="146" customFormat="false" ht="15" hidden="false" customHeight="false" outlineLevel="0" collapsed="false">
      <c r="A146" s="25"/>
      <c r="B146" s="20"/>
      <c r="C146" s="24"/>
      <c r="D146" s="20"/>
      <c r="E146" s="24"/>
      <c r="F146" s="25"/>
      <c r="G146" s="24"/>
      <c r="H146" s="33" t="str">
        <f aca="true">IF(OR($F146="",$G146="完了",$G146="中止"),"",$F146-TODAY())</f>
        <v/>
      </c>
      <c r="I146" s="25"/>
      <c r="J146" s="20"/>
    </row>
    <row r="147" customFormat="false" ht="15" hidden="false" customHeight="false" outlineLevel="0" collapsed="false">
      <c r="A147" s="25"/>
      <c r="B147" s="20"/>
      <c r="C147" s="24"/>
      <c r="D147" s="20"/>
      <c r="E147" s="24"/>
      <c r="F147" s="25"/>
      <c r="G147" s="24"/>
      <c r="H147" s="33" t="str">
        <f aca="true">IF(OR($F147="",$G147="完了",$G147="中止"),"",$F147-TODAY())</f>
        <v/>
      </c>
      <c r="I147" s="25"/>
      <c r="J147" s="20"/>
    </row>
    <row r="148" customFormat="false" ht="15" hidden="false" customHeight="false" outlineLevel="0" collapsed="false">
      <c r="A148" s="25"/>
      <c r="B148" s="20"/>
      <c r="C148" s="24"/>
      <c r="D148" s="20"/>
      <c r="E148" s="24"/>
      <c r="F148" s="25"/>
      <c r="G148" s="24"/>
      <c r="H148" s="33" t="str">
        <f aca="true">IF(OR($F148="",$G148="完了",$G148="中止"),"",$F148-TODAY())</f>
        <v/>
      </c>
      <c r="I148" s="25"/>
      <c r="J148" s="20"/>
    </row>
    <row r="149" customFormat="false" ht="15" hidden="false" customHeight="false" outlineLevel="0" collapsed="false">
      <c r="A149" s="25"/>
      <c r="B149" s="20"/>
      <c r="C149" s="24"/>
      <c r="D149" s="20"/>
      <c r="E149" s="24"/>
      <c r="F149" s="25"/>
      <c r="G149" s="24"/>
      <c r="H149" s="33" t="str">
        <f aca="true">IF(OR($F149="",$G149="完了",$G149="中止"),"",$F149-TODAY())</f>
        <v/>
      </c>
      <c r="I149" s="25"/>
      <c r="J149" s="20"/>
    </row>
    <row r="150" customFormat="false" ht="15" hidden="false" customHeight="false" outlineLevel="0" collapsed="false">
      <c r="A150" s="25"/>
      <c r="B150" s="20"/>
      <c r="C150" s="24"/>
      <c r="D150" s="20"/>
      <c r="E150" s="24"/>
      <c r="F150" s="25"/>
      <c r="G150" s="24"/>
      <c r="H150" s="33" t="str">
        <f aca="true">IF(OR($F150="",$G150="完了",$G150="中止"),"",$F150-TODAY())</f>
        <v/>
      </c>
      <c r="I150" s="25"/>
      <c r="J150" s="20"/>
    </row>
    <row r="151" customFormat="false" ht="15" hidden="false" customHeight="false" outlineLevel="0" collapsed="false">
      <c r="A151" s="25"/>
      <c r="B151" s="20"/>
      <c r="C151" s="24"/>
      <c r="D151" s="20"/>
      <c r="E151" s="24"/>
      <c r="F151" s="25"/>
      <c r="G151" s="24"/>
      <c r="H151" s="33" t="str">
        <f aca="true">IF(OR($F151="",$G151="完了",$G151="中止"),"",$F151-TODAY())</f>
        <v/>
      </c>
      <c r="I151" s="25"/>
      <c r="J151" s="20"/>
    </row>
    <row r="152" customFormat="false" ht="15" hidden="false" customHeight="false" outlineLevel="0" collapsed="false">
      <c r="A152" s="25"/>
      <c r="B152" s="20"/>
      <c r="C152" s="24"/>
      <c r="D152" s="20"/>
      <c r="E152" s="24"/>
      <c r="F152" s="25"/>
      <c r="G152" s="24"/>
      <c r="H152" s="33" t="str">
        <f aca="true">IF(OR($F152="",$G152="完了",$G152="中止"),"",$F152-TODAY())</f>
        <v/>
      </c>
      <c r="I152" s="25"/>
      <c r="J152" s="20"/>
    </row>
    <row r="153" customFormat="false" ht="15" hidden="false" customHeight="false" outlineLevel="0" collapsed="false">
      <c r="A153" s="25"/>
      <c r="B153" s="20"/>
      <c r="C153" s="24"/>
      <c r="D153" s="20"/>
      <c r="E153" s="24"/>
      <c r="F153" s="25"/>
      <c r="G153" s="24"/>
      <c r="H153" s="33" t="str">
        <f aca="true">IF(OR($F153="",$G153="完了",$G153="中止"),"",$F153-TODAY())</f>
        <v/>
      </c>
      <c r="I153" s="25"/>
      <c r="J153" s="20"/>
    </row>
    <row r="154" customFormat="false" ht="15" hidden="false" customHeight="false" outlineLevel="0" collapsed="false">
      <c r="A154" s="25"/>
      <c r="B154" s="20"/>
      <c r="C154" s="24"/>
      <c r="D154" s="20"/>
      <c r="E154" s="24"/>
      <c r="F154" s="25"/>
      <c r="G154" s="24"/>
      <c r="H154" s="33" t="str">
        <f aca="true">IF(OR($F154="",$G154="完了",$G154="中止"),"",$F154-TODAY())</f>
        <v/>
      </c>
      <c r="I154" s="25"/>
      <c r="J154" s="20"/>
    </row>
    <row r="155" customFormat="false" ht="15" hidden="false" customHeight="false" outlineLevel="0" collapsed="false">
      <c r="A155" s="25"/>
      <c r="B155" s="20"/>
      <c r="C155" s="24"/>
      <c r="D155" s="20"/>
      <c r="E155" s="24"/>
      <c r="F155" s="25"/>
      <c r="G155" s="24"/>
      <c r="H155" s="33" t="str">
        <f aca="true">IF(OR($F155="",$G155="完了",$G155="中止"),"",$F155-TODAY())</f>
        <v/>
      </c>
      <c r="I155" s="25"/>
      <c r="J155" s="20"/>
    </row>
    <row r="156" customFormat="false" ht="15" hidden="false" customHeight="false" outlineLevel="0" collapsed="false">
      <c r="A156" s="25"/>
      <c r="B156" s="20"/>
      <c r="C156" s="24"/>
      <c r="D156" s="20"/>
      <c r="E156" s="24"/>
      <c r="F156" s="25"/>
      <c r="G156" s="24"/>
      <c r="H156" s="33" t="str">
        <f aca="true">IF(OR($F156="",$G156="完了",$G156="中止"),"",$F156-TODAY())</f>
        <v/>
      </c>
      <c r="I156" s="25"/>
      <c r="J156" s="20"/>
    </row>
    <row r="157" customFormat="false" ht="15" hidden="false" customHeight="false" outlineLevel="0" collapsed="false">
      <c r="A157" s="25"/>
      <c r="B157" s="20"/>
      <c r="C157" s="24"/>
      <c r="D157" s="20"/>
      <c r="E157" s="24"/>
      <c r="F157" s="25"/>
      <c r="G157" s="24"/>
      <c r="H157" s="33" t="str">
        <f aca="true">IF(OR($F157="",$G157="完了",$G157="中止"),"",$F157-TODAY())</f>
        <v/>
      </c>
      <c r="I157" s="25"/>
      <c r="J157" s="20"/>
    </row>
    <row r="158" customFormat="false" ht="15" hidden="false" customHeight="false" outlineLevel="0" collapsed="false">
      <c r="A158" s="25"/>
      <c r="B158" s="20"/>
      <c r="C158" s="24"/>
      <c r="D158" s="20"/>
      <c r="E158" s="24"/>
      <c r="F158" s="25"/>
      <c r="G158" s="24"/>
      <c r="H158" s="33" t="str">
        <f aca="true">IF(OR($F158="",$G158="完了",$G158="中止"),"",$F158-TODAY())</f>
        <v/>
      </c>
      <c r="I158" s="25"/>
      <c r="J158" s="20"/>
    </row>
    <row r="159" customFormat="false" ht="15" hidden="false" customHeight="false" outlineLevel="0" collapsed="false">
      <c r="A159" s="25"/>
      <c r="B159" s="20"/>
      <c r="C159" s="24"/>
      <c r="D159" s="20"/>
      <c r="E159" s="24"/>
      <c r="F159" s="25"/>
      <c r="G159" s="24"/>
      <c r="H159" s="33" t="str">
        <f aca="true">IF(OR($F159="",$G159="完了",$G159="中止"),"",$F159-TODAY())</f>
        <v/>
      </c>
      <c r="I159" s="25"/>
      <c r="J159" s="20"/>
    </row>
    <row r="160" customFormat="false" ht="15" hidden="false" customHeight="false" outlineLevel="0" collapsed="false">
      <c r="A160" s="25"/>
      <c r="B160" s="20"/>
      <c r="C160" s="24"/>
      <c r="D160" s="20"/>
      <c r="E160" s="24"/>
      <c r="F160" s="25"/>
      <c r="G160" s="24"/>
      <c r="H160" s="33" t="str">
        <f aca="true">IF(OR($F160="",$G160="完了",$G160="中止"),"",$F160-TODAY())</f>
        <v/>
      </c>
      <c r="I160" s="25"/>
      <c r="J160" s="20"/>
    </row>
    <row r="161" customFormat="false" ht="15" hidden="false" customHeight="false" outlineLevel="0" collapsed="false">
      <c r="A161" s="25"/>
      <c r="B161" s="20"/>
      <c r="C161" s="24"/>
      <c r="D161" s="20"/>
      <c r="E161" s="24"/>
      <c r="F161" s="25"/>
      <c r="G161" s="24"/>
      <c r="H161" s="33" t="str">
        <f aca="true">IF(OR($F161="",$G161="完了",$G161="中止"),"",$F161-TODAY())</f>
        <v/>
      </c>
      <c r="I161" s="25"/>
      <c r="J161" s="20"/>
    </row>
    <row r="162" customFormat="false" ht="15" hidden="false" customHeight="false" outlineLevel="0" collapsed="false">
      <c r="A162" s="25"/>
      <c r="B162" s="20"/>
      <c r="C162" s="24"/>
      <c r="D162" s="20"/>
      <c r="E162" s="24"/>
      <c r="F162" s="25"/>
      <c r="G162" s="24"/>
      <c r="H162" s="33" t="str">
        <f aca="true">IF(OR($F162="",$G162="完了",$G162="中止"),"",$F162-TODAY())</f>
        <v/>
      </c>
      <c r="I162" s="25"/>
      <c r="J162" s="20"/>
    </row>
    <row r="163" customFormat="false" ht="15" hidden="false" customHeight="false" outlineLevel="0" collapsed="false">
      <c r="A163" s="25"/>
      <c r="B163" s="20"/>
      <c r="C163" s="24"/>
      <c r="D163" s="20"/>
      <c r="E163" s="24"/>
      <c r="F163" s="25"/>
      <c r="G163" s="24"/>
      <c r="H163" s="33" t="str">
        <f aca="true">IF(OR($F163="",$G163="完了",$G163="中止"),"",$F163-TODAY())</f>
        <v/>
      </c>
      <c r="I163" s="25"/>
      <c r="J163" s="20"/>
    </row>
    <row r="164" customFormat="false" ht="15" hidden="false" customHeight="false" outlineLevel="0" collapsed="false">
      <c r="A164" s="25"/>
      <c r="B164" s="20"/>
      <c r="C164" s="24"/>
      <c r="D164" s="20"/>
      <c r="E164" s="24"/>
      <c r="F164" s="25"/>
      <c r="G164" s="24"/>
      <c r="H164" s="33" t="str">
        <f aca="true">IF(OR($F164="",$G164="完了",$G164="中止"),"",$F164-TODAY())</f>
        <v/>
      </c>
      <c r="I164" s="25"/>
      <c r="J164" s="20"/>
    </row>
    <row r="165" customFormat="false" ht="15" hidden="false" customHeight="false" outlineLevel="0" collapsed="false">
      <c r="A165" s="25"/>
      <c r="B165" s="20"/>
      <c r="C165" s="24"/>
      <c r="D165" s="20"/>
      <c r="E165" s="24"/>
      <c r="F165" s="25"/>
      <c r="G165" s="24"/>
      <c r="H165" s="33" t="str">
        <f aca="true">IF(OR($F165="",$G165="完了",$G165="中止"),"",$F165-TODAY())</f>
        <v/>
      </c>
      <c r="I165" s="25"/>
      <c r="J165" s="20"/>
    </row>
    <row r="166" customFormat="false" ht="15" hidden="false" customHeight="false" outlineLevel="0" collapsed="false">
      <c r="A166" s="25"/>
      <c r="B166" s="20"/>
      <c r="C166" s="24"/>
      <c r="D166" s="20"/>
      <c r="E166" s="24"/>
      <c r="F166" s="25"/>
      <c r="G166" s="24"/>
      <c r="H166" s="33" t="str">
        <f aca="true">IF(OR($F166="",$G166="完了",$G166="中止"),"",$F166-TODAY())</f>
        <v/>
      </c>
      <c r="I166" s="25"/>
      <c r="J166" s="20"/>
    </row>
    <row r="167" customFormat="false" ht="15" hidden="false" customHeight="false" outlineLevel="0" collapsed="false">
      <c r="A167" s="25"/>
      <c r="B167" s="20"/>
      <c r="C167" s="24"/>
      <c r="D167" s="20"/>
      <c r="E167" s="24"/>
      <c r="F167" s="25"/>
      <c r="G167" s="24"/>
      <c r="H167" s="33" t="str">
        <f aca="true">IF(OR($F167="",$G167="完了",$G167="中止"),"",$F167-TODAY())</f>
        <v/>
      </c>
      <c r="I167" s="25"/>
      <c r="J167" s="20"/>
    </row>
    <row r="168" customFormat="false" ht="15" hidden="false" customHeight="false" outlineLevel="0" collapsed="false">
      <c r="A168" s="25"/>
      <c r="B168" s="20"/>
      <c r="C168" s="24"/>
      <c r="D168" s="20"/>
      <c r="E168" s="24"/>
      <c r="F168" s="25"/>
      <c r="G168" s="24"/>
      <c r="H168" s="33" t="str">
        <f aca="true">IF(OR($F168="",$G168="完了",$G168="中止"),"",$F168-TODAY())</f>
        <v/>
      </c>
      <c r="I168" s="25"/>
      <c r="J168" s="20"/>
    </row>
    <row r="169" customFormat="false" ht="15" hidden="false" customHeight="false" outlineLevel="0" collapsed="false">
      <c r="A169" s="25"/>
      <c r="B169" s="20"/>
      <c r="C169" s="24"/>
      <c r="D169" s="20"/>
      <c r="E169" s="24"/>
      <c r="F169" s="25"/>
      <c r="G169" s="24"/>
      <c r="H169" s="33" t="str">
        <f aca="true">IF(OR($F169="",$G169="完了",$G169="中止"),"",$F169-TODAY())</f>
        <v/>
      </c>
      <c r="I169" s="25"/>
      <c r="J169" s="20"/>
    </row>
    <row r="170" customFormat="false" ht="15" hidden="false" customHeight="false" outlineLevel="0" collapsed="false">
      <c r="A170" s="25"/>
      <c r="B170" s="20"/>
      <c r="C170" s="24"/>
      <c r="D170" s="20"/>
      <c r="E170" s="24"/>
      <c r="F170" s="25"/>
      <c r="G170" s="24"/>
      <c r="H170" s="33" t="str">
        <f aca="true">IF(OR($F170="",$G170="完了",$G170="中止"),"",$F170-TODAY())</f>
        <v/>
      </c>
      <c r="I170" s="25"/>
      <c r="J170" s="20"/>
    </row>
    <row r="171" customFormat="false" ht="15" hidden="false" customHeight="false" outlineLevel="0" collapsed="false">
      <c r="A171" s="25"/>
      <c r="B171" s="20"/>
      <c r="C171" s="24"/>
      <c r="D171" s="20"/>
      <c r="E171" s="24"/>
      <c r="F171" s="25"/>
      <c r="G171" s="24"/>
      <c r="H171" s="33" t="str">
        <f aca="true">IF(OR($F171="",$G171="完了",$G171="中止"),"",$F171-TODAY())</f>
        <v/>
      </c>
      <c r="I171" s="25"/>
      <c r="J171" s="20"/>
    </row>
    <row r="172" customFormat="false" ht="15" hidden="false" customHeight="false" outlineLevel="0" collapsed="false">
      <c r="A172" s="25"/>
      <c r="B172" s="20"/>
      <c r="C172" s="24"/>
      <c r="D172" s="20"/>
      <c r="E172" s="24"/>
      <c r="F172" s="25"/>
      <c r="G172" s="24"/>
      <c r="H172" s="33" t="str">
        <f aca="true">IF(OR($F172="",$G172="完了",$G172="中止"),"",$F172-TODAY())</f>
        <v/>
      </c>
      <c r="I172" s="25"/>
      <c r="J172" s="20"/>
    </row>
    <row r="173" customFormat="false" ht="15" hidden="false" customHeight="false" outlineLevel="0" collapsed="false">
      <c r="A173" s="25"/>
      <c r="B173" s="20"/>
      <c r="C173" s="24"/>
      <c r="D173" s="20"/>
      <c r="E173" s="24"/>
      <c r="F173" s="25"/>
      <c r="G173" s="24"/>
      <c r="H173" s="33" t="str">
        <f aca="true">IF(OR($F173="",$G173="完了",$G173="中止"),"",$F173-TODAY())</f>
        <v/>
      </c>
      <c r="I173" s="25"/>
      <c r="J173" s="20"/>
    </row>
    <row r="174" customFormat="false" ht="15" hidden="false" customHeight="false" outlineLevel="0" collapsed="false">
      <c r="A174" s="25"/>
      <c r="B174" s="20"/>
      <c r="C174" s="24"/>
      <c r="D174" s="20"/>
      <c r="E174" s="24"/>
      <c r="F174" s="25"/>
      <c r="G174" s="24"/>
      <c r="H174" s="33" t="str">
        <f aca="true">IF(OR($F174="",$G174="完了",$G174="中止"),"",$F174-TODAY())</f>
        <v/>
      </c>
      <c r="I174" s="25"/>
      <c r="J174" s="20"/>
    </row>
    <row r="175" customFormat="false" ht="15" hidden="false" customHeight="false" outlineLevel="0" collapsed="false">
      <c r="A175" s="25"/>
      <c r="B175" s="20"/>
      <c r="C175" s="24"/>
      <c r="D175" s="20"/>
      <c r="E175" s="24"/>
      <c r="F175" s="25"/>
      <c r="G175" s="24"/>
      <c r="H175" s="33" t="str">
        <f aca="true">IF(OR($F175="",$G175="完了",$G175="中止"),"",$F175-TODAY())</f>
        <v/>
      </c>
      <c r="I175" s="25"/>
      <c r="J175" s="20"/>
    </row>
    <row r="176" customFormat="false" ht="15" hidden="false" customHeight="false" outlineLevel="0" collapsed="false">
      <c r="A176" s="25"/>
      <c r="B176" s="20"/>
      <c r="C176" s="24"/>
      <c r="D176" s="20"/>
      <c r="E176" s="24"/>
      <c r="F176" s="25"/>
      <c r="G176" s="24"/>
      <c r="H176" s="33" t="str">
        <f aca="true">IF(OR($F176="",$G176="完了",$G176="中止"),"",$F176-TODAY())</f>
        <v/>
      </c>
      <c r="I176" s="25"/>
      <c r="J176" s="20"/>
    </row>
    <row r="177" customFormat="false" ht="15" hidden="false" customHeight="false" outlineLevel="0" collapsed="false">
      <c r="A177" s="25"/>
      <c r="B177" s="20"/>
      <c r="C177" s="24"/>
      <c r="D177" s="20"/>
      <c r="E177" s="24"/>
      <c r="F177" s="25"/>
      <c r="G177" s="24"/>
      <c r="H177" s="33" t="str">
        <f aca="true">IF(OR($F177="",$G177="完了",$G177="中止"),"",$F177-TODAY())</f>
        <v/>
      </c>
      <c r="I177" s="25"/>
      <c r="J177" s="20"/>
    </row>
    <row r="178" customFormat="false" ht="15" hidden="false" customHeight="false" outlineLevel="0" collapsed="false">
      <c r="A178" s="25"/>
      <c r="B178" s="20"/>
      <c r="C178" s="24"/>
      <c r="D178" s="20"/>
      <c r="E178" s="24"/>
      <c r="F178" s="25"/>
      <c r="G178" s="24"/>
      <c r="H178" s="33" t="str">
        <f aca="true">IF(OR($F178="",$G178="完了",$G178="中止"),"",$F178-TODAY())</f>
        <v/>
      </c>
      <c r="I178" s="25"/>
      <c r="J178" s="20"/>
    </row>
    <row r="179" customFormat="false" ht="15" hidden="false" customHeight="false" outlineLevel="0" collapsed="false">
      <c r="A179" s="25"/>
      <c r="B179" s="20"/>
      <c r="C179" s="24"/>
      <c r="D179" s="20"/>
      <c r="E179" s="24"/>
      <c r="F179" s="25"/>
      <c r="G179" s="24"/>
      <c r="H179" s="33" t="str">
        <f aca="true">IF(OR($F179="",$G179="完了",$G179="中止"),"",$F179-TODAY())</f>
        <v/>
      </c>
      <c r="I179" s="25"/>
      <c r="J179" s="20"/>
    </row>
    <row r="180" customFormat="false" ht="15" hidden="false" customHeight="false" outlineLevel="0" collapsed="false">
      <c r="A180" s="25"/>
      <c r="B180" s="20"/>
      <c r="C180" s="24"/>
      <c r="D180" s="20"/>
      <c r="E180" s="24"/>
      <c r="F180" s="25"/>
      <c r="G180" s="24"/>
      <c r="H180" s="33" t="str">
        <f aca="true">IF(OR($F180="",$G180="完了",$G180="中止"),"",$F180-TODAY())</f>
        <v/>
      </c>
      <c r="I180" s="25"/>
      <c r="J180" s="20"/>
    </row>
    <row r="181" customFormat="false" ht="15" hidden="false" customHeight="false" outlineLevel="0" collapsed="false">
      <c r="A181" s="25"/>
      <c r="B181" s="20"/>
      <c r="C181" s="24"/>
      <c r="D181" s="20"/>
      <c r="E181" s="24"/>
      <c r="F181" s="25"/>
      <c r="G181" s="24"/>
      <c r="H181" s="33" t="str">
        <f aca="true">IF(OR($F181="",$G181="完了",$G181="中止"),"",$F181-TODAY())</f>
        <v/>
      </c>
      <c r="I181" s="25"/>
      <c r="J181" s="20"/>
    </row>
    <row r="182" customFormat="false" ht="15" hidden="false" customHeight="false" outlineLevel="0" collapsed="false">
      <c r="A182" s="25"/>
      <c r="B182" s="20"/>
      <c r="C182" s="24"/>
      <c r="D182" s="20"/>
      <c r="E182" s="24"/>
      <c r="F182" s="25"/>
      <c r="G182" s="24"/>
      <c r="H182" s="33" t="str">
        <f aca="true">IF(OR($F182="",$G182="完了",$G182="中止"),"",$F182-TODAY())</f>
        <v/>
      </c>
      <c r="I182" s="25"/>
      <c r="J182" s="20"/>
    </row>
    <row r="183" customFormat="false" ht="15" hidden="false" customHeight="false" outlineLevel="0" collapsed="false">
      <c r="A183" s="25"/>
      <c r="B183" s="20"/>
      <c r="C183" s="24"/>
      <c r="D183" s="20"/>
      <c r="E183" s="24"/>
      <c r="F183" s="25"/>
      <c r="G183" s="24"/>
      <c r="H183" s="33" t="str">
        <f aca="true">IF(OR($F183="",$G183="完了",$G183="中止"),"",$F183-TODAY())</f>
        <v/>
      </c>
      <c r="I183" s="25"/>
      <c r="J183" s="20"/>
    </row>
    <row r="184" customFormat="false" ht="15" hidden="false" customHeight="false" outlineLevel="0" collapsed="false">
      <c r="A184" s="25"/>
      <c r="B184" s="20"/>
      <c r="C184" s="24"/>
      <c r="D184" s="20"/>
      <c r="E184" s="24"/>
      <c r="F184" s="25"/>
      <c r="G184" s="24"/>
      <c r="H184" s="33" t="str">
        <f aca="true">IF(OR($F184="",$G184="完了",$G184="中止"),"",$F184-TODAY())</f>
        <v/>
      </c>
      <c r="I184" s="25"/>
      <c r="J184" s="20"/>
    </row>
    <row r="185" customFormat="false" ht="15" hidden="false" customHeight="false" outlineLevel="0" collapsed="false">
      <c r="A185" s="25"/>
      <c r="B185" s="20"/>
      <c r="C185" s="24"/>
      <c r="D185" s="20"/>
      <c r="E185" s="24"/>
      <c r="F185" s="25"/>
      <c r="G185" s="24"/>
      <c r="H185" s="33" t="str">
        <f aca="true">IF(OR($F185="",$G185="完了",$G185="中止"),"",$F185-TODAY())</f>
        <v/>
      </c>
      <c r="I185" s="25"/>
      <c r="J185" s="20"/>
    </row>
    <row r="186" customFormat="false" ht="15" hidden="false" customHeight="false" outlineLevel="0" collapsed="false">
      <c r="A186" s="25"/>
      <c r="B186" s="20"/>
      <c r="C186" s="24"/>
      <c r="D186" s="20"/>
      <c r="E186" s="24"/>
      <c r="F186" s="25"/>
      <c r="G186" s="24"/>
      <c r="H186" s="33" t="str">
        <f aca="true">IF(OR($F186="",$G186="完了",$G186="中止"),"",$F186-TODAY())</f>
        <v/>
      </c>
      <c r="I186" s="25"/>
      <c r="J186" s="20"/>
    </row>
    <row r="187" customFormat="false" ht="15" hidden="false" customHeight="false" outlineLevel="0" collapsed="false">
      <c r="A187" s="25"/>
      <c r="B187" s="20"/>
      <c r="C187" s="24"/>
      <c r="D187" s="20"/>
      <c r="E187" s="24"/>
      <c r="F187" s="25"/>
      <c r="G187" s="24"/>
      <c r="H187" s="33" t="str">
        <f aca="true">IF(OR($F187="",$G187="完了",$G187="中止"),"",$F187-TODAY())</f>
        <v/>
      </c>
      <c r="I187" s="25"/>
      <c r="J187" s="20"/>
    </row>
    <row r="188" customFormat="false" ht="15" hidden="false" customHeight="false" outlineLevel="0" collapsed="false">
      <c r="A188" s="25"/>
      <c r="B188" s="20"/>
      <c r="C188" s="24"/>
      <c r="D188" s="20"/>
      <c r="E188" s="24"/>
      <c r="F188" s="25"/>
      <c r="G188" s="24"/>
      <c r="H188" s="33" t="str">
        <f aca="true">IF(OR($F188="",$G188="完了",$G188="中止"),"",$F188-TODAY())</f>
        <v/>
      </c>
      <c r="I188" s="25"/>
      <c r="J188" s="20"/>
    </row>
    <row r="189" customFormat="false" ht="15" hidden="false" customHeight="false" outlineLevel="0" collapsed="false">
      <c r="A189" s="25"/>
      <c r="B189" s="20"/>
      <c r="C189" s="24"/>
      <c r="D189" s="20"/>
      <c r="E189" s="24"/>
      <c r="F189" s="25"/>
      <c r="G189" s="24"/>
      <c r="H189" s="33" t="str">
        <f aca="true">IF(OR($F189="",$G189="完了",$G189="中止"),"",$F189-TODAY())</f>
        <v/>
      </c>
      <c r="I189" s="25"/>
      <c r="J189" s="20"/>
    </row>
    <row r="190" customFormat="false" ht="15" hidden="false" customHeight="false" outlineLevel="0" collapsed="false">
      <c r="A190" s="25"/>
      <c r="B190" s="20"/>
      <c r="C190" s="24"/>
      <c r="D190" s="20"/>
      <c r="E190" s="24"/>
      <c r="F190" s="25"/>
      <c r="G190" s="24"/>
      <c r="H190" s="33" t="str">
        <f aca="true">IF(OR($F190="",$G190="完了",$G190="中止"),"",$F190-TODAY())</f>
        <v/>
      </c>
      <c r="I190" s="25"/>
      <c r="J190" s="20"/>
    </row>
    <row r="191" customFormat="false" ht="15" hidden="false" customHeight="false" outlineLevel="0" collapsed="false">
      <c r="A191" s="25"/>
      <c r="B191" s="20"/>
      <c r="C191" s="24"/>
      <c r="D191" s="20"/>
      <c r="E191" s="24"/>
      <c r="F191" s="25"/>
      <c r="G191" s="24"/>
      <c r="H191" s="33" t="str">
        <f aca="true">IF(OR($F191="",$G191="完了",$G191="中止"),"",$F191-TODAY())</f>
        <v/>
      </c>
      <c r="I191" s="25"/>
      <c r="J191" s="20"/>
    </row>
    <row r="192" customFormat="false" ht="15" hidden="false" customHeight="false" outlineLevel="0" collapsed="false">
      <c r="A192" s="25"/>
      <c r="B192" s="20"/>
      <c r="C192" s="24"/>
      <c r="D192" s="20"/>
      <c r="E192" s="24"/>
      <c r="F192" s="25"/>
      <c r="G192" s="24"/>
      <c r="H192" s="33" t="str">
        <f aca="true">IF(OR($F192="",$G192="完了",$G192="中止"),"",$F192-TODAY())</f>
        <v/>
      </c>
      <c r="I192" s="25"/>
      <c r="J192" s="20"/>
    </row>
    <row r="193" customFormat="false" ht="15" hidden="false" customHeight="false" outlineLevel="0" collapsed="false">
      <c r="A193" s="25"/>
      <c r="B193" s="20"/>
      <c r="C193" s="24"/>
      <c r="D193" s="20"/>
      <c r="E193" s="24"/>
      <c r="F193" s="25"/>
      <c r="G193" s="24"/>
      <c r="H193" s="33" t="str">
        <f aca="true">IF(OR($F193="",$G193="完了",$G193="中止"),"",$F193-TODAY())</f>
        <v/>
      </c>
      <c r="I193" s="25"/>
      <c r="J193" s="20"/>
    </row>
    <row r="194" customFormat="false" ht="15" hidden="false" customHeight="false" outlineLevel="0" collapsed="false">
      <c r="A194" s="25"/>
      <c r="B194" s="20"/>
      <c r="C194" s="24"/>
      <c r="D194" s="20"/>
      <c r="E194" s="24"/>
      <c r="F194" s="25"/>
      <c r="G194" s="24"/>
      <c r="H194" s="33" t="str">
        <f aca="true">IF(OR($F194="",$G194="完了",$G194="中止"),"",$F194-TODAY())</f>
        <v/>
      </c>
      <c r="I194" s="25"/>
      <c r="J194" s="20"/>
    </row>
    <row r="195" customFormat="false" ht="15" hidden="false" customHeight="false" outlineLevel="0" collapsed="false">
      <c r="A195" s="25"/>
      <c r="B195" s="20"/>
      <c r="C195" s="24"/>
      <c r="D195" s="20"/>
      <c r="E195" s="24"/>
      <c r="F195" s="25"/>
      <c r="G195" s="24"/>
      <c r="H195" s="33" t="str">
        <f aca="true">IF(OR($F195="",$G195="完了",$G195="中止"),"",$F195-TODAY())</f>
        <v/>
      </c>
      <c r="I195" s="25"/>
      <c r="J195" s="20"/>
    </row>
    <row r="196" customFormat="false" ht="15" hidden="false" customHeight="false" outlineLevel="0" collapsed="false">
      <c r="A196" s="25"/>
      <c r="B196" s="20"/>
      <c r="C196" s="24"/>
      <c r="D196" s="20"/>
      <c r="E196" s="24"/>
      <c r="F196" s="25"/>
      <c r="G196" s="24"/>
      <c r="H196" s="33" t="str">
        <f aca="true">IF(OR($F196="",$G196="完了",$G196="中止"),"",$F196-TODAY())</f>
        <v/>
      </c>
      <c r="I196" s="25"/>
      <c r="J196" s="20"/>
    </row>
    <row r="197" customFormat="false" ht="15" hidden="false" customHeight="false" outlineLevel="0" collapsed="false">
      <c r="A197" s="25"/>
      <c r="B197" s="20"/>
      <c r="C197" s="24"/>
      <c r="D197" s="20"/>
      <c r="E197" s="24"/>
      <c r="F197" s="25"/>
      <c r="G197" s="24"/>
      <c r="H197" s="33" t="str">
        <f aca="true">IF(OR($F197="",$G197="完了",$G197="中止"),"",$F197-TODAY())</f>
        <v/>
      </c>
      <c r="I197" s="25"/>
      <c r="J197" s="20"/>
    </row>
    <row r="198" customFormat="false" ht="15" hidden="false" customHeight="false" outlineLevel="0" collapsed="false">
      <c r="A198" s="25"/>
      <c r="B198" s="20"/>
      <c r="C198" s="24"/>
      <c r="D198" s="20"/>
      <c r="E198" s="24"/>
      <c r="F198" s="25"/>
      <c r="G198" s="24"/>
      <c r="H198" s="33" t="str">
        <f aca="true">IF(OR($F198="",$G198="完了",$G198="中止"),"",$F198-TODAY())</f>
        <v/>
      </c>
      <c r="I198" s="25"/>
      <c r="J198" s="20"/>
    </row>
    <row r="199" customFormat="false" ht="15" hidden="false" customHeight="false" outlineLevel="0" collapsed="false">
      <c r="A199" s="25"/>
      <c r="B199" s="20"/>
      <c r="C199" s="24"/>
      <c r="D199" s="20"/>
      <c r="E199" s="24"/>
      <c r="F199" s="25"/>
      <c r="G199" s="24"/>
      <c r="H199" s="33" t="str">
        <f aca="true">IF(OR($F199="",$G199="完了",$G199="中止"),"",$F199-TODAY())</f>
        <v/>
      </c>
      <c r="I199" s="25"/>
      <c r="J199" s="20"/>
    </row>
    <row r="200" customFormat="false" ht="15" hidden="false" customHeight="false" outlineLevel="0" collapsed="false">
      <c r="A200" s="25"/>
      <c r="B200" s="20"/>
      <c r="C200" s="24"/>
      <c r="D200" s="20"/>
      <c r="E200" s="24"/>
      <c r="F200" s="25"/>
      <c r="G200" s="24"/>
      <c r="H200" s="33" t="str">
        <f aca="true">IF(OR($F200="",$G200="完了",$G200="中止"),"",$F200-TODAY())</f>
        <v/>
      </c>
      <c r="I200" s="25"/>
      <c r="J200" s="20"/>
    </row>
    <row r="201" customFormat="false" ht="15" hidden="false" customHeight="false" outlineLevel="0" collapsed="false">
      <c r="A201" s="25"/>
      <c r="B201" s="20"/>
      <c r="C201" s="24"/>
      <c r="D201" s="20"/>
      <c r="E201" s="24"/>
      <c r="F201" s="25"/>
      <c r="G201" s="24"/>
      <c r="H201" s="33" t="str">
        <f aca="true">IF(OR($F201="",$G201="完了",$G201="中止"),"",$F201-TODAY())</f>
        <v/>
      </c>
      <c r="I201" s="25"/>
      <c r="J201" s="20"/>
    </row>
  </sheetData>
  <autoFilter ref="A1:J201"/>
  <conditionalFormatting sqref="A2:J201">
    <cfRule type="expression" priority="2" aboveAverage="0" equalAverage="0" bottom="0" percent="0" rank="0" text="" dxfId="6">
      <formula>AND($D2&lt;&gt;"",$F2&lt;&gt;"",$F2&lt;TODAY(),$G2&lt;&gt;"完了",$G2&lt;&gt;"中止")</formula>
    </cfRule>
    <cfRule type="expression" priority="3" aboveAverage="0" equalAverage="0" bottom="0" percent="0" rank="0" text="" dxfId="7">
      <formula>AND($D2&lt;&gt;"",$F2&lt;&gt;"",$F2&gt;=TODAY(),$F2-TODAY()&lt;=3,$G2&lt;&gt;"完了",$G2&lt;&gt;"中止")</formula>
    </cfRule>
    <cfRule type="expression" priority="4" aboveAverage="0" equalAverage="0" bottom="0" percent="0" rank="0" text="" dxfId="8">
      <formula>$G2="完了"</formula>
    </cfRule>
  </conditionalFormatting>
  <dataValidations count="1">
    <dataValidation allowBlank="true" errorStyle="stop" operator="between" showDropDown="false" showErrorMessage="false" showInputMessage="false" sqref="G2:G201" type="list">
      <formula1>設定!$A$2:$A$6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34"/>
    <col collapsed="false" customWidth="true" hidden="false" outlineLevel="0" max="9" min="9" style="0" width="36"/>
  </cols>
  <sheetData>
    <row r="1" customFormat="false" ht="24" hidden="false" customHeight="true" outlineLevel="0" collapsed="false">
      <c r="A1" s="26" t="s">
        <v>108</v>
      </c>
      <c r="B1" s="26" t="s">
        <v>45</v>
      </c>
      <c r="C1" s="26" t="s">
        <v>109</v>
      </c>
      <c r="D1" s="26" t="s">
        <v>110</v>
      </c>
      <c r="E1" s="26" t="s">
        <v>111</v>
      </c>
      <c r="F1" s="27" t="s">
        <v>112</v>
      </c>
      <c r="G1" s="26" t="s">
        <v>113</v>
      </c>
      <c r="H1" s="26" t="s">
        <v>114</v>
      </c>
    </row>
    <row r="2" customFormat="false" ht="15" hidden="false" customHeight="false" outlineLevel="0" collapsed="false">
      <c r="A2" s="28" t="n">
        <v>46283</v>
      </c>
      <c r="B2" s="29" t="s">
        <v>104</v>
      </c>
      <c r="C2" s="31" t="s">
        <v>115</v>
      </c>
      <c r="D2" s="31" t="n">
        <v>6</v>
      </c>
      <c r="E2" s="31" t="n">
        <v>3</v>
      </c>
      <c r="F2" s="31" t="n">
        <f aca="false">IF($B2="","",COUNTIFS(アクション管理!$B$2:$B$201,$B2))</f>
        <v>1</v>
      </c>
      <c r="G2" s="31" t="n">
        <f aca="false">IF($B2="","",COUNTIFS(アクション管理!$B$2:$B$201,$B2)-COUNTIFS(アクション管理!$B$2:$B$201,$B2,アクション管理!$G$2:$G$201,"完了")-COUNTIFS(アクション管理!$B$2:$B$201,$B2,アクション管理!$G$2:$G$201,"中止"))</f>
        <v>1</v>
      </c>
      <c r="H2" s="34" t="s">
        <v>116</v>
      </c>
      <c r="I2" s="35" t="s">
        <v>107</v>
      </c>
    </row>
    <row r="3" customFormat="false" ht="15" hidden="false" customHeight="false" outlineLevel="0" collapsed="false">
      <c r="A3" s="25"/>
      <c r="B3" s="20"/>
      <c r="C3" s="24"/>
      <c r="D3" s="24"/>
      <c r="E3" s="24"/>
      <c r="F3" s="36" t="str">
        <f aca="false">IF($B3="","",COUNTIFS(アクション管理!$B$2:$B$201,$B3))</f>
        <v/>
      </c>
      <c r="G3" s="36" t="str">
        <f aca="false">IF($B3="","",COUNTIFS(アクション管理!$B$2:$B$201,$B3)-COUNTIFS(アクション管理!$B$2:$B$201,$B3,アクション管理!$G$2:$G$201,"完了")-COUNTIFS(アクション管理!$B$2:$B$201,$B3,アクション管理!$G$2:$G$201,"中止"))</f>
        <v/>
      </c>
      <c r="H3" s="20"/>
    </row>
    <row r="4" customFormat="false" ht="15" hidden="false" customHeight="false" outlineLevel="0" collapsed="false">
      <c r="A4" s="25"/>
      <c r="B4" s="20"/>
      <c r="C4" s="24"/>
      <c r="D4" s="24"/>
      <c r="E4" s="24"/>
      <c r="F4" s="36" t="str">
        <f aca="false">IF($B4="","",COUNTIFS(アクション管理!$B$2:$B$201,$B4))</f>
        <v/>
      </c>
      <c r="G4" s="36" t="str">
        <f aca="false">IF($B4="","",COUNTIFS(アクション管理!$B$2:$B$201,$B4)-COUNTIFS(アクション管理!$B$2:$B$201,$B4,アクション管理!$G$2:$G$201,"完了")-COUNTIFS(アクション管理!$B$2:$B$201,$B4,アクション管理!$G$2:$G$201,"中止"))</f>
        <v/>
      </c>
      <c r="H4" s="20"/>
    </row>
    <row r="5" customFormat="false" ht="15" hidden="false" customHeight="false" outlineLevel="0" collapsed="false">
      <c r="A5" s="25"/>
      <c r="B5" s="20"/>
      <c r="C5" s="24"/>
      <c r="D5" s="24"/>
      <c r="E5" s="24"/>
      <c r="F5" s="36" t="str">
        <f aca="false">IF($B5="","",COUNTIFS(アクション管理!$B$2:$B$201,$B5))</f>
        <v/>
      </c>
      <c r="G5" s="36" t="str">
        <f aca="false">IF($B5="","",COUNTIFS(アクション管理!$B$2:$B$201,$B5)-COUNTIFS(アクション管理!$B$2:$B$201,$B5,アクション管理!$G$2:$G$201,"完了")-COUNTIFS(アクション管理!$B$2:$B$201,$B5,アクション管理!$G$2:$G$201,"中止"))</f>
        <v/>
      </c>
      <c r="H5" s="20"/>
    </row>
    <row r="6" customFormat="false" ht="15" hidden="false" customHeight="false" outlineLevel="0" collapsed="false">
      <c r="A6" s="25"/>
      <c r="B6" s="20"/>
      <c r="C6" s="24"/>
      <c r="D6" s="24"/>
      <c r="E6" s="24"/>
      <c r="F6" s="36" t="str">
        <f aca="false">IF($B6="","",COUNTIFS(アクション管理!$B$2:$B$201,$B6))</f>
        <v/>
      </c>
      <c r="G6" s="36" t="str">
        <f aca="false">IF($B6="","",COUNTIFS(アクション管理!$B$2:$B$201,$B6)-COUNTIFS(アクション管理!$B$2:$B$201,$B6,アクション管理!$G$2:$G$201,"完了")-COUNTIFS(アクション管理!$B$2:$B$201,$B6,アクション管理!$G$2:$G$201,"中止"))</f>
        <v/>
      </c>
      <c r="H6" s="20"/>
    </row>
    <row r="7" customFormat="false" ht="15" hidden="false" customHeight="false" outlineLevel="0" collapsed="false">
      <c r="A7" s="25"/>
      <c r="B7" s="20"/>
      <c r="C7" s="24"/>
      <c r="D7" s="24"/>
      <c r="E7" s="24"/>
      <c r="F7" s="36" t="str">
        <f aca="false">IF($B7="","",COUNTIFS(アクション管理!$B$2:$B$201,$B7))</f>
        <v/>
      </c>
      <c r="G7" s="36" t="str">
        <f aca="false">IF($B7="","",COUNTIFS(アクション管理!$B$2:$B$201,$B7)-COUNTIFS(アクション管理!$B$2:$B$201,$B7,アクション管理!$G$2:$G$201,"完了")-COUNTIFS(アクション管理!$B$2:$B$201,$B7,アクション管理!$G$2:$G$201,"中止"))</f>
        <v/>
      </c>
      <c r="H7" s="20"/>
    </row>
    <row r="8" customFormat="false" ht="15" hidden="false" customHeight="false" outlineLevel="0" collapsed="false">
      <c r="A8" s="25"/>
      <c r="B8" s="20"/>
      <c r="C8" s="24"/>
      <c r="D8" s="24"/>
      <c r="E8" s="24"/>
      <c r="F8" s="36" t="str">
        <f aca="false">IF($B8="","",COUNTIFS(アクション管理!$B$2:$B$201,$B8))</f>
        <v/>
      </c>
      <c r="G8" s="36" t="str">
        <f aca="false">IF($B8="","",COUNTIFS(アクション管理!$B$2:$B$201,$B8)-COUNTIFS(アクション管理!$B$2:$B$201,$B8,アクション管理!$G$2:$G$201,"完了")-COUNTIFS(アクション管理!$B$2:$B$201,$B8,アクション管理!$G$2:$G$201,"中止"))</f>
        <v/>
      </c>
      <c r="H8" s="20"/>
    </row>
    <row r="9" customFormat="false" ht="15" hidden="false" customHeight="false" outlineLevel="0" collapsed="false">
      <c r="A9" s="25"/>
      <c r="B9" s="20"/>
      <c r="C9" s="24"/>
      <c r="D9" s="24"/>
      <c r="E9" s="24"/>
      <c r="F9" s="36" t="str">
        <f aca="false">IF($B9="","",COUNTIFS(アクション管理!$B$2:$B$201,$B9))</f>
        <v/>
      </c>
      <c r="G9" s="36" t="str">
        <f aca="false">IF($B9="","",COUNTIFS(アクション管理!$B$2:$B$201,$B9)-COUNTIFS(アクション管理!$B$2:$B$201,$B9,アクション管理!$G$2:$G$201,"完了")-COUNTIFS(アクション管理!$B$2:$B$201,$B9,アクション管理!$G$2:$G$201,"中止"))</f>
        <v/>
      </c>
      <c r="H9" s="20"/>
    </row>
    <row r="10" customFormat="false" ht="15" hidden="false" customHeight="false" outlineLevel="0" collapsed="false">
      <c r="A10" s="25"/>
      <c r="B10" s="20"/>
      <c r="C10" s="24"/>
      <c r="D10" s="24"/>
      <c r="E10" s="24"/>
      <c r="F10" s="36" t="str">
        <f aca="false">IF($B10="","",COUNTIFS(アクション管理!$B$2:$B$201,$B10))</f>
        <v/>
      </c>
      <c r="G10" s="36" t="str">
        <f aca="false">IF($B10="","",COUNTIFS(アクション管理!$B$2:$B$201,$B10)-COUNTIFS(アクション管理!$B$2:$B$201,$B10,アクション管理!$G$2:$G$201,"完了")-COUNTIFS(アクション管理!$B$2:$B$201,$B10,アクション管理!$G$2:$G$201,"中止"))</f>
        <v/>
      </c>
      <c r="H10" s="20"/>
    </row>
    <row r="11" customFormat="false" ht="15" hidden="false" customHeight="false" outlineLevel="0" collapsed="false">
      <c r="A11" s="25"/>
      <c r="B11" s="20"/>
      <c r="C11" s="24"/>
      <c r="D11" s="24"/>
      <c r="E11" s="24"/>
      <c r="F11" s="36" t="str">
        <f aca="false">IF($B11="","",COUNTIFS(アクション管理!$B$2:$B$201,$B11))</f>
        <v/>
      </c>
      <c r="G11" s="36" t="str">
        <f aca="false">IF($B11="","",COUNTIFS(アクション管理!$B$2:$B$201,$B11)-COUNTIFS(アクション管理!$B$2:$B$201,$B11,アクション管理!$G$2:$G$201,"完了")-COUNTIFS(アクション管理!$B$2:$B$201,$B11,アクション管理!$G$2:$G$201,"中止"))</f>
        <v/>
      </c>
      <c r="H11" s="20"/>
    </row>
    <row r="12" customFormat="false" ht="15" hidden="false" customHeight="false" outlineLevel="0" collapsed="false">
      <c r="A12" s="25"/>
      <c r="B12" s="20"/>
      <c r="C12" s="24"/>
      <c r="D12" s="24"/>
      <c r="E12" s="24"/>
      <c r="F12" s="36" t="str">
        <f aca="false">IF($B12="","",COUNTIFS(アクション管理!$B$2:$B$201,$B12))</f>
        <v/>
      </c>
      <c r="G12" s="36" t="str">
        <f aca="false">IF($B12="","",COUNTIFS(アクション管理!$B$2:$B$201,$B12)-COUNTIFS(アクション管理!$B$2:$B$201,$B12,アクション管理!$G$2:$G$201,"完了")-COUNTIFS(アクション管理!$B$2:$B$201,$B12,アクション管理!$G$2:$G$201,"中止"))</f>
        <v/>
      </c>
      <c r="H12" s="20"/>
    </row>
    <row r="13" customFormat="false" ht="15" hidden="false" customHeight="false" outlineLevel="0" collapsed="false">
      <c r="A13" s="25"/>
      <c r="B13" s="20"/>
      <c r="C13" s="24"/>
      <c r="D13" s="24"/>
      <c r="E13" s="24"/>
      <c r="F13" s="36" t="str">
        <f aca="false">IF($B13="","",COUNTIFS(アクション管理!$B$2:$B$201,$B13))</f>
        <v/>
      </c>
      <c r="G13" s="36" t="str">
        <f aca="false">IF($B13="","",COUNTIFS(アクション管理!$B$2:$B$201,$B13)-COUNTIFS(アクション管理!$B$2:$B$201,$B13,アクション管理!$G$2:$G$201,"完了")-COUNTIFS(アクション管理!$B$2:$B$201,$B13,アクション管理!$G$2:$G$201,"中止"))</f>
        <v/>
      </c>
      <c r="H13" s="20"/>
    </row>
    <row r="14" customFormat="false" ht="15" hidden="false" customHeight="false" outlineLevel="0" collapsed="false">
      <c r="A14" s="25"/>
      <c r="B14" s="20"/>
      <c r="C14" s="24"/>
      <c r="D14" s="24"/>
      <c r="E14" s="24"/>
      <c r="F14" s="36" t="str">
        <f aca="false">IF($B14="","",COUNTIFS(アクション管理!$B$2:$B$201,$B14))</f>
        <v/>
      </c>
      <c r="G14" s="36" t="str">
        <f aca="false">IF($B14="","",COUNTIFS(アクション管理!$B$2:$B$201,$B14)-COUNTIFS(アクション管理!$B$2:$B$201,$B14,アクション管理!$G$2:$G$201,"完了")-COUNTIFS(アクション管理!$B$2:$B$201,$B14,アクション管理!$G$2:$G$201,"中止"))</f>
        <v/>
      </c>
      <c r="H14" s="20"/>
    </row>
    <row r="15" customFormat="false" ht="15" hidden="false" customHeight="false" outlineLevel="0" collapsed="false">
      <c r="A15" s="25"/>
      <c r="B15" s="20"/>
      <c r="C15" s="24"/>
      <c r="D15" s="24"/>
      <c r="E15" s="24"/>
      <c r="F15" s="36" t="str">
        <f aca="false">IF($B15="","",COUNTIFS(アクション管理!$B$2:$B$201,$B15))</f>
        <v/>
      </c>
      <c r="G15" s="36" t="str">
        <f aca="false">IF($B15="","",COUNTIFS(アクション管理!$B$2:$B$201,$B15)-COUNTIFS(アクション管理!$B$2:$B$201,$B15,アクション管理!$G$2:$G$201,"完了")-COUNTIFS(アクション管理!$B$2:$B$201,$B15,アクション管理!$G$2:$G$201,"中止"))</f>
        <v/>
      </c>
      <c r="H15" s="20"/>
    </row>
    <row r="16" customFormat="false" ht="15" hidden="false" customHeight="false" outlineLevel="0" collapsed="false">
      <c r="A16" s="25"/>
      <c r="B16" s="20"/>
      <c r="C16" s="24"/>
      <c r="D16" s="24"/>
      <c r="E16" s="24"/>
      <c r="F16" s="36" t="str">
        <f aca="false">IF($B16="","",COUNTIFS(アクション管理!$B$2:$B$201,$B16))</f>
        <v/>
      </c>
      <c r="G16" s="36" t="str">
        <f aca="false">IF($B16="","",COUNTIFS(アクション管理!$B$2:$B$201,$B16)-COUNTIFS(アクション管理!$B$2:$B$201,$B16,アクション管理!$G$2:$G$201,"完了")-COUNTIFS(アクション管理!$B$2:$B$201,$B16,アクション管理!$G$2:$G$201,"中止"))</f>
        <v/>
      </c>
      <c r="H16" s="20"/>
    </row>
    <row r="17" customFormat="false" ht="15" hidden="false" customHeight="false" outlineLevel="0" collapsed="false">
      <c r="A17" s="25"/>
      <c r="B17" s="20"/>
      <c r="C17" s="24"/>
      <c r="D17" s="24"/>
      <c r="E17" s="24"/>
      <c r="F17" s="36" t="str">
        <f aca="false">IF($B17="","",COUNTIFS(アクション管理!$B$2:$B$201,$B17))</f>
        <v/>
      </c>
      <c r="G17" s="36" t="str">
        <f aca="false">IF($B17="","",COUNTIFS(アクション管理!$B$2:$B$201,$B17)-COUNTIFS(アクション管理!$B$2:$B$201,$B17,アクション管理!$G$2:$G$201,"完了")-COUNTIFS(アクション管理!$B$2:$B$201,$B17,アクション管理!$G$2:$G$201,"中止"))</f>
        <v/>
      </c>
      <c r="H17" s="20"/>
    </row>
    <row r="18" customFormat="false" ht="15" hidden="false" customHeight="false" outlineLevel="0" collapsed="false">
      <c r="A18" s="25"/>
      <c r="B18" s="20"/>
      <c r="C18" s="24"/>
      <c r="D18" s="24"/>
      <c r="E18" s="24"/>
      <c r="F18" s="36" t="str">
        <f aca="false">IF($B18="","",COUNTIFS(アクション管理!$B$2:$B$201,$B18))</f>
        <v/>
      </c>
      <c r="G18" s="36" t="str">
        <f aca="false">IF($B18="","",COUNTIFS(アクション管理!$B$2:$B$201,$B18)-COUNTIFS(アクション管理!$B$2:$B$201,$B18,アクション管理!$G$2:$G$201,"完了")-COUNTIFS(アクション管理!$B$2:$B$201,$B18,アクション管理!$G$2:$G$201,"中止"))</f>
        <v/>
      </c>
      <c r="H18" s="20"/>
    </row>
    <row r="19" customFormat="false" ht="15" hidden="false" customHeight="false" outlineLevel="0" collapsed="false">
      <c r="A19" s="25"/>
      <c r="B19" s="20"/>
      <c r="C19" s="24"/>
      <c r="D19" s="24"/>
      <c r="E19" s="24"/>
      <c r="F19" s="36" t="str">
        <f aca="false">IF($B19="","",COUNTIFS(アクション管理!$B$2:$B$201,$B19))</f>
        <v/>
      </c>
      <c r="G19" s="36" t="str">
        <f aca="false">IF($B19="","",COUNTIFS(アクション管理!$B$2:$B$201,$B19)-COUNTIFS(アクション管理!$B$2:$B$201,$B19,アクション管理!$G$2:$G$201,"完了")-COUNTIFS(アクション管理!$B$2:$B$201,$B19,アクション管理!$G$2:$G$201,"中止"))</f>
        <v/>
      </c>
      <c r="H19" s="20"/>
    </row>
    <row r="20" customFormat="false" ht="15" hidden="false" customHeight="false" outlineLevel="0" collapsed="false">
      <c r="A20" s="25"/>
      <c r="B20" s="20"/>
      <c r="C20" s="24"/>
      <c r="D20" s="24"/>
      <c r="E20" s="24"/>
      <c r="F20" s="36" t="str">
        <f aca="false">IF($B20="","",COUNTIFS(アクション管理!$B$2:$B$201,$B20))</f>
        <v/>
      </c>
      <c r="G20" s="36" t="str">
        <f aca="false">IF($B20="","",COUNTIFS(アクション管理!$B$2:$B$201,$B20)-COUNTIFS(アクション管理!$B$2:$B$201,$B20,アクション管理!$G$2:$G$201,"完了")-COUNTIFS(アクション管理!$B$2:$B$201,$B20,アクション管理!$G$2:$G$201,"中止"))</f>
        <v/>
      </c>
      <c r="H20" s="20"/>
    </row>
    <row r="21" customFormat="false" ht="15" hidden="false" customHeight="false" outlineLevel="0" collapsed="false">
      <c r="A21" s="25"/>
      <c r="B21" s="20"/>
      <c r="C21" s="24"/>
      <c r="D21" s="24"/>
      <c r="E21" s="24"/>
      <c r="F21" s="36" t="str">
        <f aca="false">IF($B21="","",COUNTIFS(アクション管理!$B$2:$B$201,$B21))</f>
        <v/>
      </c>
      <c r="G21" s="36" t="str">
        <f aca="false">IF($B21="","",COUNTIFS(アクション管理!$B$2:$B$201,$B21)-COUNTIFS(アクション管理!$B$2:$B$201,$B21,アクション管理!$G$2:$G$201,"完了")-COUNTIFS(アクション管理!$B$2:$B$201,$B21,アクション管理!$G$2:$G$201,"中止"))</f>
        <v/>
      </c>
      <c r="H21" s="20"/>
    </row>
    <row r="22" customFormat="false" ht="15" hidden="false" customHeight="false" outlineLevel="0" collapsed="false">
      <c r="A22" s="25"/>
      <c r="B22" s="20"/>
      <c r="C22" s="24"/>
      <c r="D22" s="24"/>
      <c r="E22" s="24"/>
      <c r="F22" s="36" t="str">
        <f aca="false">IF($B22="","",COUNTIFS(アクション管理!$B$2:$B$201,$B22))</f>
        <v/>
      </c>
      <c r="G22" s="36" t="str">
        <f aca="false">IF($B22="","",COUNTIFS(アクション管理!$B$2:$B$201,$B22)-COUNTIFS(アクション管理!$B$2:$B$201,$B22,アクション管理!$G$2:$G$201,"完了")-COUNTIFS(アクション管理!$B$2:$B$201,$B22,アクション管理!$G$2:$G$201,"中止"))</f>
        <v/>
      </c>
      <c r="H22" s="20"/>
    </row>
    <row r="23" customFormat="false" ht="15" hidden="false" customHeight="false" outlineLevel="0" collapsed="false">
      <c r="A23" s="25"/>
      <c r="B23" s="20"/>
      <c r="C23" s="24"/>
      <c r="D23" s="24"/>
      <c r="E23" s="24"/>
      <c r="F23" s="36" t="str">
        <f aca="false">IF($B23="","",COUNTIFS(アクション管理!$B$2:$B$201,$B23))</f>
        <v/>
      </c>
      <c r="G23" s="36" t="str">
        <f aca="false">IF($B23="","",COUNTIFS(アクション管理!$B$2:$B$201,$B23)-COUNTIFS(アクション管理!$B$2:$B$201,$B23,アクション管理!$G$2:$G$201,"完了")-COUNTIFS(アクション管理!$B$2:$B$201,$B23,アクション管理!$G$2:$G$201,"中止"))</f>
        <v/>
      </c>
      <c r="H23" s="20"/>
    </row>
    <row r="24" customFormat="false" ht="15" hidden="false" customHeight="false" outlineLevel="0" collapsed="false">
      <c r="A24" s="25"/>
      <c r="B24" s="20"/>
      <c r="C24" s="24"/>
      <c r="D24" s="24"/>
      <c r="E24" s="24"/>
      <c r="F24" s="36" t="str">
        <f aca="false">IF($B24="","",COUNTIFS(アクション管理!$B$2:$B$201,$B24))</f>
        <v/>
      </c>
      <c r="G24" s="36" t="str">
        <f aca="false">IF($B24="","",COUNTIFS(アクション管理!$B$2:$B$201,$B24)-COUNTIFS(アクション管理!$B$2:$B$201,$B24,アクション管理!$G$2:$G$201,"完了")-COUNTIFS(アクション管理!$B$2:$B$201,$B24,アクション管理!$G$2:$G$201,"中止"))</f>
        <v/>
      </c>
      <c r="H24" s="20"/>
    </row>
    <row r="25" customFormat="false" ht="15" hidden="false" customHeight="false" outlineLevel="0" collapsed="false">
      <c r="A25" s="25"/>
      <c r="B25" s="20"/>
      <c r="C25" s="24"/>
      <c r="D25" s="24"/>
      <c r="E25" s="24"/>
      <c r="F25" s="36" t="str">
        <f aca="false">IF($B25="","",COUNTIFS(アクション管理!$B$2:$B$201,$B25))</f>
        <v/>
      </c>
      <c r="G25" s="36" t="str">
        <f aca="false">IF($B25="","",COUNTIFS(アクション管理!$B$2:$B$201,$B25)-COUNTIFS(アクション管理!$B$2:$B$201,$B25,アクション管理!$G$2:$G$201,"完了")-COUNTIFS(アクション管理!$B$2:$B$201,$B25,アクション管理!$G$2:$G$201,"中止"))</f>
        <v/>
      </c>
      <c r="H25" s="20"/>
    </row>
    <row r="26" customFormat="false" ht="15" hidden="false" customHeight="false" outlineLevel="0" collapsed="false">
      <c r="A26" s="25"/>
      <c r="B26" s="20"/>
      <c r="C26" s="24"/>
      <c r="D26" s="24"/>
      <c r="E26" s="24"/>
      <c r="F26" s="36" t="str">
        <f aca="false">IF($B26="","",COUNTIFS(アクション管理!$B$2:$B$201,$B26))</f>
        <v/>
      </c>
      <c r="G26" s="36" t="str">
        <f aca="false">IF($B26="","",COUNTIFS(アクション管理!$B$2:$B$201,$B26)-COUNTIFS(アクション管理!$B$2:$B$201,$B26,アクション管理!$G$2:$G$201,"完了")-COUNTIFS(アクション管理!$B$2:$B$201,$B26,アクション管理!$G$2:$G$201,"中止"))</f>
        <v/>
      </c>
      <c r="H26" s="20"/>
    </row>
    <row r="27" customFormat="false" ht="15" hidden="false" customHeight="false" outlineLevel="0" collapsed="false">
      <c r="A27" s="25"/>
      <c r="B27" s="20"/>
      <c r="C27" s="24"/>
      <c r="D27" s="24"/>
      <c r="E27" s="24"/>
      <c r="F27" s="36" t="str">
        <f aca="false">IF($B27="","",COUNTIFS(アクション管理!$B$2:$B$201,$B27))</f>
        <v/>
      </c>
      <c r="G27" s="36" t="str">
        <f aca="false">IF($B27="","",COUNTIFS(アクション管理!$B$2:$B$201,$B27)-COUNTIFS(アクション管理!$B$2:$B$201,$B27,アクション管理!$G$2:$G$201,"完了")-COUNTIFS(アクション管理!$B$2:$B$201,$B27,アクション管理!$G$2:$G$201,"中止"))</f>
        <v/>
      </c>
      <c r="H27" s="20"/>
    </row>
    <row r="28" customFormat="false" ht="15" hidden="false" customHeight="false" outlineLevel="0" collapsed="false">
      <c r="A28" s="25"/>
      <c r="B28" s="20"/>
      <c r="C28" s="24"/>
      <c r="D28" s="24"/>
      <c r="E28" s="24"/>
      <c r="F28" s="36" t="str">
        <f aca="false">IF($B28="","",COUNTIFS(アクション管理!$B$2:$B$201,$B28))</f>
        <v/>
      </c>
      <c r="G28" s="36" t="str">
        <f aca="false">IF($B28="","",COUNTIFS(アクション管理!$B$2:$B$201,$B28)-COUNTIFS(アクション管理!$B$2:$B$201,$B28,アクション管理!$G$2:$G$201,"完了")-COUNTIFS(アクション管理!$B$2:$B$201,$B28,アクション管理!$G$2:$G$201,"中止"))</f>
        <v/>
      </c>
      <c r="H28" s="20"/>
    </row>
    <row r="29" customFormat="false" ht="15" hidden="false" customHeight="false" outlineLevel="0" collapsed="false">
      <c r="A29" s="25"/>
      <c r="B29" s="20"/>
      <c r="C29" s="24"/>
      <c r="D29" s="24"/>
      <c r="E29" s="24"/>
      <c r="F29" s="36" t="str">
        <f aca="false">IF($B29="","",COUNTIFS(アクション管理!$B$2:$B$201,$B29))</f>
        <v/>
      </c>
      <c r="G29" s="36" t="str">
        <f aca="false">IF($B29="","",COUNTIFS(アクション管理!$B$2:$B$201,$B29)-COUNTIFS(アクション管理!$B$2:$B$201,$B29,アクション管理!$G$2:$G$201,"完了")-COUNTIFS(アクション管理!$B$2:$B$201,$B29,アクション管理!$G$2:$G$201,"中止"))</f>
        <v/>
      </c>
      <c r="H29" s="20"/>
    </row>
    <row r="30" customFormat="false" ht="15" hidden="false" customHeight="false" outlineLevel="0" collapsed="false">
      <c r="A30" s="25"/>
      <c r="B30" s="20"/>
      <c r="C30" s="24"/>
      <c r="D30" s="24"/>
      <c r="E30" s="24"/>
      <c r="F30" s="36" t="str">
        <f aca="false">IF($B30="","",COUNTIFS(アクション管理!$B$2:$B$201,$B30))</f>
        <v/>
      </c>
      <c r="G30" s="36" t="str">
        <f aca="false">IF($B30="","",COUNTIFS(アクション管理!$B$2:$B$201,$B30)-COUNTIFS(アクション管理!$B$2:$B$201,$B30,アクション管理!$G$2:$G$201,"完了")-COUNTIFS(アクション管理!$B$2:$B$201,$B30,アクション管理!$G$2:$G$201,"中止"))</f>
        <v/>
      </c>
      <c r="H30" s="20"/>
    </row>
    <row r="31" customFormat="false" ht="15" hidden="false" customHeight="false" outlineLevel="0" collapsed="false">
      <c r="A31" s="25"/>
      <c r="B31" s="20"/>
      <c r="C31" s="24"/>
      <c r="D31" s="24"/>
      <c r="E31" s="24"/>
      <c r="F31" s="36" t="str">
        <f aca="false">IF($B31="","",COUNTIFS(アクション管理!$B$2:$B$201,$B31))</f>
        <v/>
      </c>
      <c r="G31" s="36" t="str">
        <f aca="false">IF($B31="","",COUNTIFS(アクション管理!$B$2:$B$201,$B31)-COUNTIFS(アクション管理!$B$2:$B$201,$B31,アクション管理!$G$2:$G$201,"完了")-COUNTIFS(アクション管理!$B$2:$B$201,$B31,アクション管理!$G$2:$G$201,"中止"))</f>
        <v/>
      </c>
      <c r="H31" s="20"/>
    </row>
    <row r="32" customFormat="false" ht="15" hidden="false" customHeight="false" outlineLevel="0" collapsed="false">
      <c r="A32" s="25"/>
      <c r="B32" s="20"/>
      <c r="C32" s="24"/>
      <c r="D32" s="24"/>
      <c r="E32" s="24"/>
      <c r="F32" s="36" t="str">
        <f aca="false">IF($B32="","",COUNTIFS(アクション管理!$B$2:$B$201,$B32))</f>
        <v/>
      </c>
      <c r="G32" s="36" t="str">
        <f aca="false">IF($B32="","",COUNTIFS(アクション管理!$B$2:$B$201,$B32)-COUNTIFS(アクション管理!$B$2:$B$201,$B32,アクション管理!$G$2:$G$201,"完了")-COUNTIFS(アクション管理!$B$2:$B$201,$B32,アクション管理!$G$2:$G$201,"中止"))</f>
        <v/>
      </c>
      <c r="H32" s="20"/>
    </row>
    <row r="33" customFormat="false" ht="15" hidden="false" customHeight="false" outlineLevel="0" collapsed="false">
      <c r="A33" s="25"/>
      <c r="B33" s="20"/>
      <c r="C33" s="24"/>
      <c r="D33" s="24"/>
      <c r="E33" s="24"/>
      <c r="F33" s="36" t="str">
        <f aca="false">IF($B33="","",COUNTIFS(アクション管理!$B$2:$B$201,$B33))</f>
        <v/>
      </c>
      <c r="G33" s="36" t="str">
        <f aca="false">IF($B33="","",COUNTIFS(アクション管理!$B$2:$B$201,$B33)-COUNTIFS(アクション管理!$B$2:$B$201,$B33,アクション管理!$G$2:$G$201,"完了")-COUNTIFS(アクション管理!$B$2:$B$201,$B33,アクション管理!$G$2:$G$201,"中止"))</f>
        <v/>
      </c>
      <c r="H33" s="20"/>
    </row>
    <row r="34" customFormat="false" ht="15" hidden="false" customHeight="false" outlineLevel="0" collapsed="false">
      <c r="A34" s="25"/>
      <c r="B34" s="20"/>
      <c r="C34" s="24"/>
      <c r="D34" s="24"/>
      <c r="E34" s="24"/>
      <c r="F34" s="36" t="str">
        <f aca="false">IF($B34="","",COUNTIFS(アクション管理!$B$2:$B$201,$B34))</f>
        <v/>
      </c>
      <c r="G34" s="36" t="str">
        <f aca="false">IF($B34="","",COUNTIFS(アクション管理!$B$2:$B$201,$B34)-COUNTIFS(アクション管理!$B$2:$B$201,$B34,アクション管理!$G$2:$G$201,"完了")-COUNTIFS(アクション管理!$B$2:$B$201,$B34,アクション管理!$G$2:$G$201,"中止"))</f>
        <v/>
      </c>
      <c r="H34" s="20"/>
    </row>
    <row r="35" customFormat="false" ht="15" hidden="false" customHeight="false" outlineLevel="0" collapsed="false">
      <c r="A35" s="25"/>
      <c r="B35" s="20"/>
      <c r="C35" s="24"/>
      <c r="D35" s="24"/>
      <c r="E35" s="24"/>
      <c r="F35" s="36" t="str">
        <f aca="false">IF($B35="","",COUNTIFS(アクション管理!$B$2:$B$201,$B35))</f>
        <v/>
      </c>
      <c r="G35" s="36" t="str">
        <f aca="false">IF($B35="","",COUNTIFS(アクション管理!$B$2:$B$201,$B35)-COUNTIFS(アクション管理!$B$2:$B$201,$B35,アクション管理!$G$2:$G$201,"完了")-COUNTIFS(アクション管理!$B$2:$B$201,$B35,アクション管理!$G$2:$G$201,"中止"))</f>
        <v/>
      </c>
      <c r="H35" s="20"/>
    </row>
    <row r="36" customFormat="false" ht="15" hidden="false" customHeight="false" outlineLevel="0" collapsed="false">
      <c r="A36" s="25"/>
      <c r="B36" s="20"/>
      <c r="C36" s="24"/>
      <c r="D36" s="24"/>
      <c r="E36" s="24"/>
      <c r="F36" s="36" t="str">
        <f aca="false">IF($B36="","",COUNTIFS(アクション管理!$B$2:$B$201,$B36))</f>
        <v/>
      </c>
      <c r="G36" s="36" t="str">
        <f aca="false">IF($B36="","",COUNTIFS(アクション管理!$B$2:$B$201,$B36)-COUNTIFS(アクション管理!$B$2:$B$201,$B36,アクション管理!$G$2:$G$201,"完了")-COUNTIFS(アクション管理!$B$2:$B$201,$B36,アクション管理!$G$2:$G$201,"中止"))</f>
        <v/>
      </c>
      <c r="H36" s="20"/>
    </row>
    <row r="37" customFormat="false" ht="15" hidden="false" customHeight="false" outlineLevel="0" collapsed="false">
      <c r="A37" s="25"/>
      <c r="B37" s="20"/>
      <c r="C37" s="24"/>
      <c r="D37" s="24"/>
      <c r="E37" s="24"/>
      <c r="F37" s="36" t="str">
        <f aca="false">IF($B37="","",COUNTIFS(アクション管理!$B$2:$B$201,$B37))</f>
        <v/>
      </c>
      <c r="G37" s="36" t="str">
        <f aca="false">IF($B37="","",COUNTIFS(アクション管理!$B$2:$B$201,$B37)-COUNTIFS(アクション管理!$B$2:$B$201,$B37,アクション管理!$G$2:$G$201,"完了")-COUNTIFS(アクション管理!$B$2:$B$201,$B37,アクション管理!$G$2:$G$201,"中止"))</f>
        <v/>
      </c>
      <c r="H37" s="20"/>
    </row>
    <row r="38" customFormat="false" ht="15" hidden="false" customHeight="false" outlineLevel="0" collapsed="false">
      <c r="A38" s="25"/>
      <c r="B38" s="20"/>
      <c r="C38" s="24"/>
      <c r="D38" s="24"/>
      <c r="E38" s="24"/>
      <c r="F38" s="36" t="str">
        <f aca="false">IF($B38="","",COUNTIFS(アクション管理!$B$2:$B$201,$B38))</f>
        <v/>
      </c>
      <c r="G38" s="36" t="str">
        <f aca="false">IF($B38="","",COUNTIFS(アクション管理!$B$2:$B$201,$B38)-COUNTIFS(アクション管理!$B$2:$B$201,$B38,アクション管理!$G$2:$G$201,"完了")-COUNTIFS(アクション管理!$B$2:$B$201,$B38,アクション管理!$G$2:$G$201,"中止"))</f>
        <v/>
      </c>
      <c r="H38" s="20"/>
    </row>
    <row r="39" customFormat="false" ht="15" hidden="false" customHeight="false" outlineLevel="0" collapsed="false">
      <c r="A39" s="25"/>
      <c r="B39" s="20"/>
      <c r="C39" s="24"/>
      <c r="D39" s="24"/>
      <c r="E39" s="24"/>
      <c r="F39" s="36" t="str">
        <f aca="false">IF($B39="","",COUNTIFS(アクション管理!$B$2:$B$201,$B39))</f>
        <v/>
      </c>
      <c r="G39" s="36" t="str">
        <f aca="false">IF($B39="","",COUNTIFS(アクション管理!$B$2:$B$201,$B39)-COUNTIFS(アクション管理!$B$2:$B$201,$B39,アクション管理!$G$2:$G$201,"完了")-COUNTIFS(アクション管理!$B$2:$B$201,$B39,アクション管理!$G$2:$G$201,"中止"))</f>
        <v/>
      </c>
      <c r="H39" s="20"/>
    </row>
    <row r="40" customFormat="false" ht="15" hidden="false" customHeight="false" outlineLevel="0" collapsed="false">
      <c r="A40" s="25"/>
      <c r="B40" s="20"/>
      <c r="C40" s="24"/>
      <c r="D40" s="24"/>
      <c r="E40" s="24"/>
      <c r="F40" s="36" t="str">
        <f aca="false">IF($B40="","",COUNTIFS(アクション管理!$B$2:$B$201,$B40))</f>
        <v/>
      </c>
      <c r="G40" s="36" t="str">
        <f aca="false">IF($B40="","",COUNTIFS(アクション管理!$B$2:$B$201,$B40)-COUNTIFS(アクション管理!$B$2:$B$201,$B40,アクション管理!$G$2:$G$201,"完了")-COUNTIFS(アクション管理!$B$2:$B$201,$B40,アクション管理!$G$2:$G$201,"中止"))</f>
        <v/>
      </c>
      <c r="H40" s="20"/>
    </row>
    <row r="41" customFormat="false" ht="15" hidden="false" customHeight="false" outlineLevel="0" collapsed="false">
      <c r="A41" s="25"/>
      <c r="B41" s="20"/>
      <c r="C41" s="24"/>
      <c r="D41" s="24"/>
      <c r="E41" s="24"/>
      <c r="F41" s="36" t="str">
        <f aca="false">IF($B41="","",COUNTIFS(アクション管理!$B$2:$B$201,$B41))</f>
        <v/>
      </c>
      <c r="G41" s="36" t="str">
        <f aca="false">IF($B41="","",COUNTIFS(アクション管理!$B$2:$B$201,$B41)-COUNTIFS(アクション管理!$B$2:$B$201,$B41,アクション管理!$G$2:$G$201,"完了")-COUNTIFS(アクション管理!$B$2:$B$201,$B41,アクション管理!$G$2:$G$201,"中止"))</f>
        <v/>
      </c>
      <c r="H41" s="20"/>
    </row>
    <row r="42" customFormat="false" ht="15" hidden="false" customHeight="false" outlineLevel="0" collapsed="false">
      <c r="A42" s="25"/>
      <c r="B42" s="20"/>
      <c r="C42" s="24"/>
      <c r="D42" s="24"/>
      <c r="E42" s="24"/>
      <c r="F42" s="36" t="str">
        <f aca="false">IF($B42="","",COUNTIFS(アクション管理!$B$2:$B$201,$B42))</f>
        <v/>
      </c>
      <c r="G42" s="36" t="str">
        <f aca="false">IF($B42="","",COUNTIFS(アクション管理!$B$2:$B$201,$B42)-COUNTIFS(アクション管理!$B$2:$B$201,$B42,アクション管理!$G$2:$G$201,"完了")-COUNTIFS(アクション管理!$B$2:$B$201,$B42,アクション管理!$G$2:$G$201,"中止"))</f>
        <v/>
      </c>
      <c r="H42" s="20"/>
    </row>
    <row r="43" customFormat="false" ht="15" hidden="false" customHeight="false" outlineLevel="0" collapsed="false">
      <c r="A43" s="25"/>
      <c r="B43" s="20"/>
      <c r="C43" s="24"/>
      <c r="D43" s="24"/>
      <c r="E43" s="24"/>
      <c r="F43" s="36" t="str">
        <f aca="false">IF($B43="","",COUNTIFS(アクション管理!$B$2:$B$201,$B43))</f>
        <v/>
      </c>
      <c r="G43" s="36" t="str">
        <f aca="false">IF($B43="","",COUNTIFS(アクション管理!$B$2:$B$201,$B43)-COUNTIFS(アクション管理!$B$2:$B$201,$B43,アクション管理!$G$2:$G$201,"完了")-COUNTIFS(アクション管理!$B$2:$B$201,$B43,アクション管理!$G$2:$G$201,"中止"))</f>
        <v/>
      </c>
      <c r="H43" s="20"/>
    </row>
    <row r="44" customFormat="false" ht="15" hidden="false" customHeight="false" outlineLevel="0" collapsed="false">
      <c r="A44" s="25"/>
      <c r="B44" s="20"/>
      <c r="C44" s="24"/>
      <c r="D44" s="24"/>
      <c r="E44" s="24"/>
      <c r="F44" s="36" t="str">
        <f aca="false">IF($B44="","",COUNTIFS(アクション管理!$B$2:$B$201,$B44))</f>
        <v/>
      </c>
      <c r="G44" s="36" t="str">
        <f aca="false">IF($B44="","",COUNTIFS(アクション管理!$B$2:$B$201,$B44)-COUNTIFS(アクション管理!$B$2:$B$201,$B44,アクション管理!$G$2:$G$201,"完了")-COUNTIFS(アクション管理!$B$2:$B$201,$B44,アクション管理!$G$2:$G$201,"中止"))</f>
        <v/>
      </c>
      <c r="H44" s="20"/>
    </row>
    <row r="45" customFormat="false" ht="15" hidden="false" customHeight="false" outlineLevel="0" collapsed="false">
      <c r="A45" s="25"/>
      <c r="B45" s="20"/>
      <c r="C45" s="24"/>
      <c r="D45" s="24"/>
      <c r="E45" s="24"/>
      <c r="F45" s="36" t="str">
        <f aca="false">IF($B45="","",COUNTIFS(アクション管理!$B$2:$B$201,$B45))</f>
        <v/>
      </c>
      <c r="G45" s="36" t="str">
        <f aca="false">IF($B45="","",COUNTIFS(アクション管理!$B$2:$B$201,$B45)-COUNTIFS(アクション管理!$B$2:$B$201,$B45,アクション管理!$G$2:$G$201,"完了")-COUNTIFS(アクション管理!$B$2:$B$201,$B45,アクション管理!$G$2:$G$201,"中止"))</f>
        <v/>
      </c>
      <c r="H45" s="20"/>
    </row>
    <row r="46" customFormat="false" ht="15" hidden="false" customHeight="false" outlineLevel="0" collapsed="false">
      <c r="A46" s="25"/>
      <c r="B46" s="20"/>
      <c r="C46" s="24"/>
      <c r="D46" s="24"/>
      <c r="E46" s="24"/>
      <c r="F46" s="36" t="str">
        <f aca="false">IF($B46="","",COUNTIFS(アクション管理!$B$2:$B$201,$B46))</f>
        <v/>
      </c>
      <c r="G46" s="36" t="str">
        <f aca="false">IF($B46="","",COUNTIFS(アクション管理!$B$2:$B$201,$B46)-COUNTIFS(アクション管理!$B$2:$B$201,$B46,アクション管理!$G$2:$G$201,"完了")-COUNTIFS(アクション管理!$B$2:$B$201,$B46,アクション管理!$G$2:$G$201,"中止"))</f>
        <v/>
      </c>
      <c r="H46" s="20"/>
    </row>
    <row r="47" customFormat="false" ht="15" hidden="false" customHeight="false" outlineLevel="0" collapsed="false">
      <c r="A47" s="25"/>
      <c r="B47" s="20"/>
      <c r="C47" s="24"/>
      <c r="D47" s="24"/>
      <c r="E47" s="24"/>
      <c r="F47" s="36" t="str">
        <f aca="false">IF($B47="","",COUNTIFS(アクション管理!$B$2:$B$201,$B47))</f>
        <v/>
      </c>
      <c r="G47" s="36" t="str">
        <f aca="false">IF($B47="","",COUNTIFS(アクション管理!$B$2:$B$201,$B47)-COUNTIFS(アクション管理!$B$2:$B$201,$B47,アクション管理!$G$2:$G$201,"完了")-COUNTIFS(アクション管理!$B$2:$B$201,$B47,アクション管理!$G$2:$G$201,"中止"))</f>
        <v/>
      </c>
      <c r="H47" s="20"/>
    </row>
    <row r="48" customFormat="false" ht="15" hidden="false" customHeight="false" outlineLevel="0" collapsed="false">
      <c r="A48" s="25"/>
      <c r="B48" s="20"/>
      <c r="C48" s="24"/>
      <c r="D48" s="24"/>
      <c r="E48" s="24"/>
      <c r="F48" s="36" t="str">
        <f aca="false">IF($B48="","",COUNTIFS(アクション管理!$B$2:$B$201,$B48))</f>
        <v/>
      </c>
      <c r="G48" s="36" t="str">
        <f aca="false">IF($B48="","",COUNTIFS(アクション管理!$B$2:$B$201,$B48)-COUNTIFS(アクション管理!$B$2:$B$201,$B48,アクション管理!$G$2:$G$201,"完了")-COUNTIFS(アクション管理!$B$2:$B$201,$B48,アクション管理!$G$2:$G$201,"中止"))</f>
        <v/>
      </c>
      <c r="H48" s="20"/>
    </row>
    <row r="49" customFormat="false" ht="15" hidden="false" customHeight="false" outlineLevel="0" collapsed="false">
      <c r="A49" s="25"/>
      <c r="B49" s="20"/>
      <c r="C49" s="24"/>
      <c r="D49" s="24"/>
      <c r="E49" s="24"/>
      <c r="F49" s="36" t="str">
        <f aca="false">IF($B49="","",COUNTIFS(アクション管理!$B$2:$B$201,$B49))</f>
        <v/>
      </c>
      <c r="G49" s="36" t="str">
        <f aca="false">IF($B49="","",COUNTIFS(アクション管理!$B$2:$B$201,$B49)-COUNTIFS(アクション管理!$B$2:$B$201,$B49,アクション管理!$G$2:$G$201,"完了")-COUNTIFS(アクション管理!$B$2:$B$201,$B49,アクション管理!$G$2:$G$201,"中止"))</f>
        <v/>
      </c>
      <c r="H49" s="20"/>
    </row>
    <row r="50" customFormat="false" ht="15" hidden="false" customHeight="false" outlineLevel="0" collapsed="false">
      <c r="A50" s="25"/>
      <c r="B50" s="20"/>
      <c r="C50" s="24"/>
      <c r="D50" s="24"/>
      <c r="E50" s="24"/>
      <c r="F50" s="36" t="str">
        <f aca="false">IF($B50="","",COUNTIFS(アクション管理!$B$2:$B$201,$B50))</f>
        <v/>
      </c>
      <c r="G50" s="36" t="str">
        <f aca="false">IF($B50="","",COUNTIFS(アクション管理!$B$2:$B$201,$B50)-COUNTIFS(アクション管理!$B$2:$B$201,$B50,アクション管理!$G$2:$G$201,"完了")-COUNTIFS(アクション管理!$B$2:$B$201,$B50,アクション管理!$G$2:$G$201,"中止"))</f>
        <v/>
      </c>
      <c r="H50" s="20"/>
    </row>
    <row r="51" customFormat="false" ht="15" hidden="false" customHeight="false" outlineLevel="0" collapsed="false">
      <c r="A51" s="25"/>
      <c r="B51" s="20"/>
      <c r="C51" s="24"/>
      <c r="D51" s="24"/>
      <c r="E51" s="24"/>
      <c r="F51" s="36" t="str">
        <f aca="false">IF($B51="","",COUNTIFS(アクション管理!$B$2:$B$201,$B51))</f>
        <v/>
      </c>
      <c r="G51" s="36" t="str">
        <f aca="false">IF($B51="","",COUNTIFS(アクション管理!$B$2:$B$201,$B51)-COUNTIFS(アクション管理!$B$2:$B$201,$B51,アクション管理!$G$2:$G$201,"完了")-COUNTIFS(アクション管理!$B$2:$B$201,$B51,アクション管理!$G$2:$G$201,"中止"))</f>
        <v/>
      </c>
      <c r="H51" s="20"/>
    </row>
    <row r="52" customFormat="false" ht="15" hidden="false" customHeight="false" outlineLevel="0" collapsed="false">
      <c r="A52" s="25"/>
      <c r="B52" s="20"/>
      <c r="C52" s="24"/>
      <c r="D52" s="24"/>
      <c r="E52" s="24"/>
      <c r="F52" s="36" t="str">
        <f aca="false">IF($B52="","",COUNTIFS(アクション管理!$B$2:$B$201,$B52))</f>
        <v/>
      </c>
      <c r="G52" s="36" t="str">
        <f aca="false">IF($B52="","",COUNTIFS(アクション管理!$B$2:$B$201,$B52)-COUNTIFS(アクション管理!$B$2:$B$201,$B52,アクション管理!$G$2:$G$201,"完了")-COUNTIFS(アクション管理!$B$2:$B$201,$B52,アクション管理!$G$2:$G$201,"中止"))</f>
        <v/>
      </c>
      <c r="H52" s="20"/>
    </row>
    <row r="53" customFormat="false" ht="15" hidden="false" customHeight="false" outlineLevel="0" collapsed="false">
      <c r="A53" s="25"/>
      <c r="B53" s="20"/>
      <c r="C53" s="24"/>
      <c r="D53" s="24"/>
      <c r="E53" s="24"/>
      <c r="F53" s="36" t="str">
        <f aca="false">IF($B53="","",COUNTIFS(アクション管理!$B$2:$B$201,$B53))</f>
        <v/>
      </c>
      <c r="G53" s="36" t="str">
        <f aca="false">IF($B53="","",COUNTIFS(アクション管理!$B$2:$B$201,$B53)-COUNTIFS(アクション管理!$B$2:$B$201,$B53,アクション管理!$G$2:$G$201,"完了")-COUNTIFS(アクション管理!$B$2:$B$201,$B53,アクション管理!$G$2:$G$201,"中止"))</f>
        <v/>
      </c>
      <c r="H53" s="20"/>
    </row>
    <row r="54" customFormat="false" ht="15" hidden="false" customHeight="false" outlineLevel="0" collapsed="false">
      <c r="A54" s="25"/>
      <c r="B54" s="20"/>
      <c r="C54" s="24"/>
      <c r="D54" s="24"/>
      <c r="E54" s="24"/>
      <c r="F54" s="36" t="str">
        <f aca="false">IF($B54="","",COUNTIFS(アクション管理!$B$2:$B$201,$B54))</f>
        <v/>
      </c>
      <c r="G54" s="36" t="str">
        <f aca="false">IF($B54="","",COUNTIFS(アクション管理!$B$2:$B$201,$B54)-COUNTIFS(アクション管理!$B$2:$B$201,$B54,アクション管理!$G$2:$G$201,"完了")-COUNTIFS(アクション管理!$B$2:$B$201,$B54,アクション管理!$G$2:$G$201,"中止"))</f>
        <v/>
      </c>
      <c r="H54" s="20"/>
    </row>
    <row r="55" customFormat="false" ht="15" hidden="false" customHeight="false" outlineLevel="0" collapsed="false">
      <c r="A55" s="25"/>
      <c r="B55" s="20"/>
      <c r="C55" s="24"/>
      <c r="D55" s="24"/>
      <c r="E55" s="24"/>
      <c r="F55" s="36" t="str">
        <f aca="false">IF($B55="","",COUNTIFS(アクション管理!$B$2:$B$201,$B55))</f>
        <v/>
      </c>
      <c r="G55" s="36" t="str">
        <f aca="false">IF($B55="","",COUNTIFS(アクション管理!$B$2:$B$201,$B55)-COUNTIFS(アクション管理!$B$2:$B$201,$B55,アクション管理!$G$2:$G$201,"完了")-COUNTIFS(アクション管理!$B$2:$B$201,$B55,アクション管理!$G$2:$G$201,"中止"))</f>
        <v/>
      </c>
      <c r="H55" s="20"/>
    </row>
    <row r="56" customFormat="false" ht="15" hidden="false" customHeight="false" outlineLevel="0" collapsed="false">
      <c r="A56" s="25"/>
      <c r="B56" s="20"/>
      <c r="C56" s="24"/>
      <c r="D56" s="24"/>
      <c r="E56" s="24"/>
      <c r="F56" s="36" t="str">
        <f aca="false">IF($B56="","",COUNTIFS(アクション管理!$B$2:$B$201,$B56))</f>
        <v/>
      </c>
      <c r="G56" s="36" t="str">
        <f aca="false">IF($B56="","",COUNTIFS(アクション管理!$B$2:$B$201,$B56)-COUNTIFS(アクション管理!$B$2:$B$201,$B56,アクション管理!$G$2:$G$201,"完了")-COUNTIFS(アクション管理!$B$2:$B$201,$B56,アクション管理!$G$2:$G$201,"中止"))</f>
        <v/>
      </c>
      <c r="H56" s="20"/>
    </row>
    <row r="57" customFormat="false" ht="15" hidden="false" customHeight="false" outlineLevel="0" collapsed="false">
      <c r="A57" s="25"/>
      <c r="B57" s="20"/>
      <c r="C57" s="24"/>
      <c r="D57" s="24"/>
      <c r="E57" s="24"/>
      <c r="F57" s="36" t="str">
        <f aca="false">IF($B57="","",COUNTIFS(アクション管理!$B$2:$B$201,$B57))</f>
        <v/>
      </c>
      <c r="G57" s="36" t="str">
        <f aca="false">IF($B57="","",COUNTIFS(アクション管理!$B$2:$B$201,$B57)-COUNTIFS(アクション管理!$B$2:$B$201,$B57,アクション管理!$G$2:$G$201,"完了")-COUNTIFS(アクション管理!$B$2:$B$201,$B57,アクション管理!$G$2:$G$201,"中止"))</f>
        <v/>
      </c>
      <c r="H57" s="20"/>
    </row>
    <row r="58" customFormat="false" ht="15" hidden="false" customHeight="false" outlineLevel="0" collapsed="false">
      <c r="A58" s="25"/>
      <c r="B58" s="20"/>
      <c r="C58" s="24"/>
      <c r="D58" s="24"/>
      <c r="E58" s="24"/>
      <c r="F58" s="36" t="str">
        <f aca="false">IF($B58="","",COUNTIFS(アクション管理!$B$2:$B$201,$B58))</f>
        <v/>
      </c>
      <c r="G58" s="36" t="str">
        <f aca="false">IF($B58="","",COUNTIFS(アクション管理!$B$2:$B$201,$B58)-COUNTIFS(アクション管理!$B$2:$B$201,$B58,アクション管理!$G$2:$G$201,"完了")-COUNTIFS(アクション管理!$B$2:$B$201,$B58,アクション管理!$G$2:$G$201,"中止"))</f>
        <v/>
      </c>
      <c r="H58" s="20"/>
    </row>
    <row r="59" customFormat="false" ht="15" hidden="false" customHeight="false" outlineLevel="0" collapsed="false">
      <c r="A59" s="25"/>
      <c r="B59" s="20"/>
      <c r="C59" s="24"/>
      <c r="D59" s="24"/>
      <c r="E59" s="24"/>
      <c r="F59" s="36" t="str">
        <f aca="false">IF($B59="","",COUNTIFS(アクション管理!$B$2:$B$201,$B59))</f>
        <v/>
      </c>
      <c r="G59" s="36" t="str">
        <f aca="false">IF($B59="","",COUNTIFS(アクション管理!$B$2:$B$201,$B59)-COUNTIFS(アクション管理!$B$2:$B$201,$B59,アクション管理!$G$2:$G$201,"完了")-COUNTIFS(アクション管理!$B$2:$B$201,$B59,アクション管理!$G$2:$G$201,"中止"))</f>
        <v/>
      </c>
      <c r="H59" s="20"/>
    </row>
    <row r="60" customFormat="false" ht="15" hidden="false" customHeight="false" outlineLevel="0" collapsed="false">
      <c r="A60" s="25"/>
      <c r="B60" s="20"/>
      <c r="C60" s="24"/>
      <c r="D60" s="24"/>
      <c r="E60" s="24"/>
      <c r="F60" s="36" t="str">
        <f aca="false">IF($B60="","",COUNTIFS(アクション管理!$B$2:$B$201,$B60))</f>
        <v/>
      </c>
      <c r="G60" s="36" t="str">
        <f aca="false">IF($B60="","",COUNTIFS(アクション管理!$B$2:$B$201,$B60)-COUNTIFS(アクション管理!$B$2:$B$201,$B60,アクション管理!$G$2:$G$201,"完了")-COUNTIFS(アクション管理!$B$2:$B$201,$B60,アクション管理!$G$2:$G$201,"中止"))</f>
        <v/>
      </c>
      <c r="H60" s="20"/>
    </row>
    <row r="61" customFormat="false" ht="15" hidden="false" customHeight="false" outlineLevel="0" collapsed="false">
      <c r="A61" s="25"/>
      <c r="B61" s="20"/>
      <c r="C61" s="24"/>
      <c r="D61" s="24"/>
      <c r="E61" s="24"/>
      <c r="F61" s="36" t="str">
        <f aca="false">IF($B61="","",COUNTIFS(アクション管理!$B$2:$B$201,$B61))</f>
        <v/>
      </c>
      <c r="G61" s="36" t="str">
        <f aca="false">IF($B61="","",COUNTIFS(アクション管理!$B$2:$B$201,$B61)-COUNTIFS(アクション管理!$B$2:$B$201,$B61,アクション管理!$G$2:$G$201,"完了")-COUNTIFS(アクション管理!$B$2:$B$201,$B61,アクション管理!$G$2:$G$201,"中止"))</f>
        <v/>
      </c>
      <c r="H61" s="20"/>
    </row>
    <row r="62" customFormat="false" ht="15" hidden="false" customHeight="false" outlineLevel="0" collapsed="false">
      <c r="A62" s="25"/>
      <c r="B62" s="20"/>
      <c r="C62" s="24"/>
      <c r="D62" s="24"/>
      <c r="E62" s="24"/>
      <c r="F62" s="36" t="str">
        <f aca="false">IF($B62="","",COUNTIFS(アクション管理!$B$2:$B$201,$B62))</f>
        <v/>
      </c>
      <c r="G62" s="36" t="str">
        <f aca="false">IF($B62="","",COUNTIFS(アクション管理!$B$2:$B$201,$B62)-COUNTIFS(アクション管理!$B$2:$B$201,$B62,アクション管理!$G$2:$G$201,"完了")-COUNTIFS(アクション管理!$B$2:$B$201,$B62,アクション管理!$G$2:$G$201,"中止"))</f>
        <v/>
      </c>
      <c r="H62" s="20"/>
    </row>
    <row r="63" customFormat="false" ht="15" hidden="false" customHeight="false" outlineLevel="0" collapsed="false">
      <c r="A63" s="25"/>
      <c r="B63" s="20"/>
      <c r="C63" s="24"/>
      <c r="D63" s="24"/>
      <c r="E63" s="24"/>
      <c r="F63" s="36" t="str">
        <f aca="false">IF($B63="","",COUNTIFS(アクション管理!$B$2:$B$201,$B63))</f>
        <v/>
      </c>
      <c r="G63" s="36" t="str">
        <f aca="false">IF($B63="","",COUNTIFS(アクション管理!$B$2:$B$201,$B63)-COUNTIFS(アクション管理!$B$2:$B$201,$B63,アクション管理!$G$2:$G$201,"完了")-COUNTIFS(アクション管理!$B$2:$B$201,$B63,アクション管理!$G$2:$G$201,"中止"))</f>
        <v/>
      </c>
      <c r="H63" s="20"/>
    </row>
    <row r="64" customFormat="false" ht="15" hidden="false" customHeight="false" outlineLevel="0" collapsed="false">
      <c r="A64" s="25"/>
      <c r="B64" s="20"/>
      <c r="C64" s="24"/>
      <c r="D64" s="24"/>
      <c r="E64" s="24"/>
      <c r="F64" s="36" t="str">
        <f aca="false">IF($B64="","",COUNTIFS(アクション管理!$B$2:$B$201,$B64))</f>
        <v/>
      </c>
      <c r="G64" s="36" t="str">
        <f aca="false">IF($B64="","",COUNTIFS(アクション管理!$B$2:$B$201,$B64)-COUNTIFS(アクション管理!$B$2:$B$201,$B64,アクション管理!$G$2:$G$201,"完了")-COUNTIFS(アクション管理!$B$2:$B$201,$B64,アクション管理!$G$2:$G$201,"中止"))</f>
        <v/>
      </c>
      <c r="H64" s="20"/>
    </row>
    <row r="65" customFormat="false" ht="15" hidden="false" customHeight="false" outlineLevel="0" collapsed="false">
      <c r="A65" s="25"/>
      <c r="B65" s="20"/>
      <c r="C65" s="24"/>
      <c r="D65" s="24"/>
      <c r="E65" s="24"/>
      <c r="F65" s="36" t="str">
        <f aca="false">IF($B65="","",COUNTIFS(アクション管理!$B$2:$B$201,$B65))</f>
        <v/>
      </c>
      <c r="G65" s="36" t="str">
        <f aca="false">IF($B65="","",COUNTIFS(アクション管理!$B$2:$B$201,$B65)-COUNTIFS(アクション管理!$B$2:$B$201,$B65,アクション管理!$G$2:$G$201,"完了")-COUNTIFS(アクション管理!$B$2:$B$201,$B65,アクション管理!$G$2:$G$201,"中止"))</f>
        <v/>
      </c>
      <c r="H65" s="20"/>
    </row>
    <row r="66" customFormat="false" ht="15" hidden="false" customHeight="false" outlineLevel="0" collapsed="false">
      <c r="A66" s="25"/>
      <c r="B66" s="20"/>
      <c r="C66" s="24"/>
      <c r="D66" s="24"/>
      <c r="E66" s="24"/>
      <c r="F66" s="36" t="str">
        <f aca="false">IF($B66="","",COUNTIFS(アクション管理!$B$2:$B$201,$B66))</f>
        <v/>
      </c>
      <c r="G66" s="36" t="str">
        <f aca="false">IF($B66="","",COUNTIFS(アクション管理!$B$2:$B$201,$B66)-COUNTIFS(アクション管理!$B$2:$B$201,$B66,アクション管理!$G$2:$G$201,"完了")-COUNTIFS(アクション管理!$B$2:$B$201,$B66,アクション管理!$G$2:$G$201,"中止"))</f>
        <v/>
      </c>
      <c r="H66" s="20"/>
    </row>
    <row r="67" customFormat="false" ht="15" hidden="false" customHeight="false" outlineLevel="0" collapsed="false">
      <c r="A67" s="25"/>
      <c r="B67" s="20"/>
      <c r="C67" s="24"/>
      <c r="D67" s="24"/>
      <c r="E67" s="24"/>
      <c r="F67" s="36" t="str">
        <f aca="false">IF($B67="","",COUNTIFS(アクション管理!$B$2:$B$201,$B67))</f>
        <v/>
      </c>
      <c r="G67" s="36" t="str">
        <f aca="false">IF($B67="","",COUNTIFS(アクション管理!$B$2:$B$201,$B67)-COUNTIFS(アクション管理!$B$2:$B$201,$B67,アクション管理!$G$2:$G$201,"完了")-COUNTIFS(アクション管理!$B$2:$B$201,$B67,アクション管理!$G$2:$G$201,"中止"))</f>
        <v/>
      </c>
      <c r="H67" s="20"/>
    </row>
    <row r="68" customFormat="false" ht="15" hidden="false" customHeight="false" outlineLevel="0" collapsed="false">
      <c r="A68" s="25"/>
      <c r="B68" s="20"/>
      <c r="C68" s="24"/>
      <c r="D68" s="24"/>
      <c r="E68" s="24"/>
      <c r="F68" s="36" t="str">
        <f aca="false">IF($B68="","",COUNTIFS(アクション管理!$B$2:$B$201,$B68))</f>
        <v/>
      </c>
      <c r="G68" s="36" t="str">
        <f aca="false">IF($B68="","",COUNTIFS(アクション管理!$B$2:$B$201,$B68)-COUNTIFS(アクション管理!$B$2:$B$201,$B68,アクション管理!$G$2:$G$201,"完了")-COUNTIFS(アクション管理!$B$2:$B$201,$B68,アクション管理!$G$2:$G$201,"中止"))</f>
        <v/>
      </c>
      <c r="H68" s="20"/>
    </row>
    <row r="69" customFormat="false" ht="15" hidden="false" customHeight="false" outlineLevel="0" collapsed="false">
      <c r="A69" s="25"/>
      <c r="B69" s="20"/>
      <c r="C69" s="24"/>
      <c r="D69" s="24"/>
      <c r="E69" s="24"/>
      <c r="F69" s="36" t="str">
        <f aca="false">IF($B69="","",COUNTIFS(アクション管理!$B$2:$B$201,$B69))</f>
        <v/>
      </c>
      <c r="G69" s="36" t="str">
        <f aca="false">IF($B69="","",COUNTIFS(アクション管理!$B$2:$B$201,$B69)-COUNTIFS(アクション管理!$B$2:$B$201,$B69,アクション管理!$G$2:$G$201,"完了")-COUNTIFS(アクション管理!$B$2:$B$201,$B69,アクション管理!$G$2:$G$201,"中止"))</f>
        <v/>
      </c>
      <c r="H69" s="20"/>
    </row>
    <row r="70" customFormat="false" ht="15" hidden="false" customHeight="false" outlineLevel="0" collapsed="false">
      <c r="A70" s="25"/>
      <c r="B70" s="20"/>
      <c r="C70" s="24"/>
      <c r="D70" s="24"/>
      <c r="E70" s="24"/>
      <c r="F70" s="36" t="str">
        <f aca="false">IF($B70="","",COUNTIFS(アクション管理!$B$2:$B$201,$B70))</f>
        <v/>
      </c>
      <c r="G70" s="36" t="str">
        <f aca="false">IF($B70="","",COUNTIFS(アクション管理!$B$2:$B$201,$B70)-COUNTIFS(アクション管理!$B$2:$B$201,$B70,アクション管理!$G$2:$G$201,"完了")-COUNTIFS(アクション管理!$B$2:$B$201,$B70,アクション管理!$G$2:$G$201,"中止"))</f>
        <v/>
      </c>
      <c r="H70" s="20"/>
    </row>
    <row r="71" customFormat="false" ht="15" hidden="false" customHeight="false" outlineLevel="0" collapsed="false">
      <c r="A71" s="25"/>
      <c r="B71" s="20"/>
      <c r="C71" s="24"/>
      <c r="D71" s="24"/>
      <c r="E71" s="24"/>
      <c r="F71" s="36" t="str">
        <f aca="false">IF($B71="","",COUNTIFS(アクション管理!$B$2:$B$201,$B71))</f>
        <v/>
      </c>
      <c r="G71" s="36" t="str">
        <f aca="false">IF($B71="","",COUNTIFS(アクション管理!$B$2:$B$201,$B71)-COUNTIFS(アクション管理!$B$2:$B$201,$B71,アクション管理!$G$2:$G$201,"完了")-COUNTIFS(アクション管理!$B$2:$B$201,$B71,アクション管理!$G$2:$G$201,"中止"))</f>
        <v/>
      </c>
      <c r="H71" s="20"/>
    </row>
    <row r="72" customFormat="false" ht="15" hidden="false" customHeight="false" outlineLevel="0" collapsed="false">
      <c r="A72" s="25"/>
      <c r="B72" s="20"/>
      <c r="C72" s="24"/>
      <c r="D72" s="24"/>
      <c r="E72" s="24"/>
      <c r="F72" s="36" t="str">
        <f aca="false">IF($B72="","",COUNTIFS(アクション管理!$B$2:$B$201,$B72))</f>
        <v/>
      </c>
      <c r="G72" s="36" t="str">
        <f aca="false">IF($B72="","",COUNTIFS(アクション管理!$B$2:$B$201,$B72)-COUNTIFS(アクション管理!$B$2:$B$201,$B72,アクション管理!$G$2:$G$201,"完了")-COUNTIFS(アクション管理!$B$2:$B$201,$B72,アクション管理!$G$2:$G$201,"中止"))</f>
        <v/>
      </c>
      <c r="H72" s="20"/>
    </row>
    <row r="73" customFormat="false" ht="15" hidden="false" customHeight="false" outlineLevel="0" collapsed="false">
      <c r="A73" s="25"/>
      <c r="B73" s="20"/>
      <c r="C73" s="24"/>
      <c r="D73" s="24"/>
      <c r="E73" s="24"/>
      <c r="F73" s="36" t="str">
        <f aca="false">IF($B73="","",COUNTIFS(アクション管理!$B$2:$B$201,$B73))</f>
        <v/>
      </c>
      <c r="G73" s="36" t="str">
        <f aca="false">IF($B73="","",COUNTIFS(アクション管理!$B$2:$B$201,$B73)-COUNTIFS(アクション管理!$B$2:$B$201,$B73,アクション管理!$G$2:$G$201,"完了")-COUNTIFS(アクション管理!$B$2:$B$201,$B73,アクション管理!$G$2:$G$201,"中止"))</f>
        <v/>
      </c>
      <c r="H73" s="20"/>
    </row>
    <row r="74" customFormat="false" ht="15" hidden="false" customHeight="false" outlineLevel="0" collapsed="false">
      <c r="A74" s="25"/>
      <c r="B74" s="20"/>
      <c r="C74" s="24"/>
      <c r="D74" s="24"/>
      <c r="E74" s="24"/>
      <c r="F74" s="36" t="str">
        <f aca="false">IF($B74="","",COUNTIFS(アクション管理!$B$2:$B$201,$B74))</f>
        <v/>
      </c>
      <c r="G74" s="36" t="str">
        <f aca="false">IF($B74="","",COUNTIFS(アクション管理!$B$2:$B$201,$B74)-COUNTIFS(アクション管理!$B$2:$B$201,$B74,アクション管理!$G$2:$G$201,"完了")-COUNTIFS(アクション管理!$B$2:$B$201,$B74,アクション管理!$G$2:$G$201,"中止"))</f>
        <v/>
      </c>
      <c r="H74" s="20"/>
    </row>
    <row r="75" customFormat="false" ht="15" hidden="false" customHeight="false" outlineLevel="0" collapsed="false">
      <c r="A75" s="25"/>
      <c r="B75" s="20"/>
      <c r="C75" s="24"/>
      <c r="D75" s="24"/>
      <c r="E75" s="24"/>
      <c r="F75" s="36" t="str">
        <f aca="false">IF($B75="","",COUNTIFS(アクション管理!$B$2:$B$201,$B75))</f>
        <v/>
      </c>
      <c r="G75" s="36" t="str">
        <f aca="false">IF($B75="","",COUNTIFS(アクション管理!$B$2:$B$201,$B75)-COUNTIFS(アクション管理!$B$2:$B$201,$B75,アクション管理!$G$2:$G$201,"完了")-COUNTIFS(アクション管理!$B$2:$B$201,$B75,アクション管理!$G$2:$G$201,"中止"))</f>
        <v/>
      </c>
      <c r="H75" s="20"/>
    </row>
    <row r="76" customFormat="false" ht="15" hidden="false" customHeight="false" outlineLevel="0" collapsed="false">
      <c r="A76" s="25"/>
      <c r="B76" s="20"/>
      <c r="C76" s="24"/>
      <c r="D76" s="24"/>
      <c r="E76" s="24"/>
      <c r="F76" s="36" t="str">
        <f aca="false">IF($B76="","",COUNTIFS(アクション管理!$B$2:$B$201,$B76))</f>
        <v/>
      </c>
      <c r="G76" s="36" t="str">
        <f aca="false">IF($B76="","",COUNTIFS(アクション管理!$B$2:$B$201,$B76)-COUNTIFS(アクション管理!$B$2:$B$201,$B76,アクション管理!$G$2:$G$201,"完了")-COUNTIFS(アクション管理!$B$2:$B$201,$B76,アクション管理!$G$2:$G$201,"中止"))</f>
        <v/>
      </c>
      <c r="H76" s="20"/>
    </row>
    <row r="77" customFormat="false" ht="15" hidden="false" customHeight="false" outlineLevel="0" collapsed="false">
      <c r="A77" s="25"/>
      <c r="B77" s="20"/>
      <c r="C77" s="24"/>
      <c r="D77" s="24"/>
      <c r="E77" s="24"/>
      <c r="F77" s="36" t="str">
        <f aca="false">IF($B77="","",COUNTIFS(アクション管理!$B$2:$B$201,$B77))</f>
        <v/>
      </c>
      <c r="G77" s="36" t="str">
        <f aca="false">IF($B77="","",COUNTIFS(アクション管理!$B$2:$B$201,$B77)-COUNTIFS(アクション管理!$B$2:$B$201,$B77,アクション管理!$G$2:$G$201,"完了")-COUNTIFS(アクション管理!$B$2:$B$201,$B77,アクション管理!$G$2:$G$201,"中止"))</f>
        <v/>
      </c>
      <c r="H77" s="20"/>
    </row>
    <row r="78" customFormat="false" ht="15" hidden="false" customHeight="false" outlineLevel="0" collapsed="false">
      <c r="A78" s="25"/>
      <c r="B78" s="20"/>
      <c r="C78" s="24"/>
      <c r="D78" s="24"/>
      <c r="E78" s="24"/>
      <c r="F78" s="36" t="str">
        <f aca="false">IF($B78="","",COUNTIFS(アクション管理!$B$2:$B$201,$B78))</f>
        <v/>
      </c>
      <c r="G78" s="36" t="str">
        <f aca="false">IF($B78="","",COUNTIFS(アクション管理!$B$2:$B$201,$B78)-COUNTIFS(アクション管理!$B$2:$B$201,$B78,アクション管理!$G$2:$G$201,"完了")-COUNTIFS(アクション管理!$B$2:$B$201,$B78,アクション管理!$G$2:$G$201,"中止"))</f>
        <v/>
      </c>
      <c r="H78" s="20"/>
    </row>
    <row r="79" customFormat="false" ht="15" hidden="false" customHeight="false" outlineLevel="0" collapsed="false">
      <c r="A79" s="25"/>
      <c r="B79" s="20"/>
      <c r="C79" s="24"/>
      <c r="D79" s="24"/>
      <c r="E79" s="24"/>
      <c r="F79" s="36" t="str">
        <f aca="false">IF($B79="","",COUNTIFS(アクション管理!$B$2:$B$201,$B79))</f>
        <v/>
      </c>
      <c r="G79" s="36" t="str">
        <f aca="false">IF($B79="","",COUNTIFS(アクション管理!$B$2:$B$201,$B79)-COUNTIFS(アクション管理!$B$2:$B$201,$B79,アクション管理!$G$2:$G$201,"完了")-COUNTIFS(アクション管理!$B$2:$B$201,$B79,アクション管理!$G$2:$G$201,"中止"))</f>
        <v/>
      </c>
      <c r="H79" s="20"/>
    </row>
    <row r="80" customFormat="false" ht="15" hidden="false" customHeight="false" outlineLevel="0" collapsed="false">
      <c r="A80" s="25"/>
      <c r="B80" s="20"/>
      <c r="C80" s="24"/>
      <c r="D80" s="24"/>
      <c r="E80" s="24"/>
      <c r="F80" s="36" t="str">
        <f aca="false">IF($B80="","",COUNTIFS(アクション管理!$B$2:$B$201,$B80))</f>
        <v/>
      </c>
      <c r="G80" s="36" t="str">
        <f aca="false">IF($B80="","",COUNTIFS(アクション管理!$B$2:$B$201,$B80)-COUNTIFS(アクション管理!$B$2:$B$201,$B80,アクション管理!$G$2:$G$201,"完了")-COUNTIFS(アクション管理!$B$2:$B$201,$B80,アクション管理!$G$2:$G$201,"中止"))</f>
        <v/>
      </c>
      <c r="H80" s="20"/>
    </row>
    <row r="81" customFormat="false" ht="15" hidden="false" customHeight="false" outlineLevel="0" collapsed="false">
      <c r="A81" s="25"/>
      <c r="B81" s="20"/>
      <c r="C81" s="24"/>
      <c r="D81" s="24"/>
      <c r="E81" s="24"/>
      <c r="F81" s="36" t="str">
        <f aca="false">IF($B81="","",COUNTIFS(アクション管理!$B$2:$B$201,$B81))</f>
        <v/>
      </c>
      <c r="G81" s="36" t="str">
        <f aca="false">IF($B81="","",COUNTIFS(アクション管理!$B$2:$B$201,$B81)-COUNTIFS(アクション管理!$B$2:$B$201,$B81,アクション管理!$G$2:$G$201,"完了")-COUNTIFS(アクション管理!$B$2:$B$201,$B81,アクション管理!$G$2:$G$201,"中止"))</f>
        <v/>
      </c>
      <c r="H81" s="20"/>
    </row>
    <row r="82" customFormat="false" ht="15" hidden="false" customHeight="false" outlineLevel="0" collapsed="false">
      <c r="A82" s="25"/>
      <c r="B82" s="20"/>
      <c r="C82" s="24"/>
      <c r="D82" s="24"/>
      <c r="E82" s="24"/>
      <c r="F82" s="36" t="str">
        <f aca="false">IF($B82="","",COUNTIFS(アクション管理!$B$2:$B$201,$B82))</f>
        <v/>
      </c>
      <c r="G82" s="36" t="str">
        <f aca="false">IF($B82="","",COUNTIFS(アクション管理!$B$2:$B$201,$B82)-COUNTIFS(アクション管理!$B$2:$B$201,$B82,アクション管理!$G$2:$G$201,"完了")-COUNTIFS(アクション管理!$B$2:$B$201,$B82,アクション管理!$G$2:$G$201,"中止"))</f>
        <v/>
      </c>
      <c r="H82" s="20"/>
    </row>
    <row r="83" customFormat="false" ht="15" hidden="false" customHeight="false" outlineLevel="0" collapsed="false">
      <c r="A83" s="25"/>
      <c r="B83" s="20"/>
      <c r="C83" s="24"/>
      <c r="D83" s="24"/>
      <c r="E83" s="24"/>
      <c r="F83" s="36" t="str">
        <f aca="false">IF($B83="","",COUNTIFS(アクション管理!$B$2:$B$201,$B83))</f>
        <v/>
      </c>
      <c r="G83" s="36" t="str">
        <f aca="false">IF($B83="","",COUNTIFS(アクション管理!$B$2:$B$201,$B83)-COUNTIFS(アクション管理!$B$2:$B$201,$B83,アクション管理!$G$2:$G$201,"完了")-COUNTIFS(アクション管理!$B$2:$B$201,$B83,アクション管理!$G$2:$G$201,"中止"))</f>
        <v/>
      </c>
      <c r="H83" s="20"/>
    </row>
    <row r="84" customFormat="false" ht="15" hidden="false" customHeight="false" outlineLevel="0" collapsed="false">
      <c r="A84" s="25"/>
      <c r="B84" s="20"/>
      <c r="C84" s="24"/>
      <c r="D84" s="24"/>
      <c r="E84" s="24"/>
      <c r="F84" s="36" t="str">
        <f aca="false">IF($B84="","",COUNTIFS(アクション管理!$B$2:$B$201,$B84))</f>
        <v/>
      </c>
      <c r="G84" s="36" t="str">
        <f aca="false">IF($B84="","",COUNTIFS(アクション管理!$B$2:$B$201,$B84)-COUNTIFS(アクション管理!$B$2:$B$201,$B84,アクション管理!$G$2:$G$201,"完了")-COUNTIFS(アクション管理!$B$2:$B$201,$B84,アクション管理!$G$2:$G$201,"中止"))</f>
        <v/>
      </c>
      <c r="H84" s="20"/>
    </row>
    <row r="85" customFormat="false" ht="15" hidden="false" customHeight="false" outlineLevel="0" collapsed="false">
      <c r="A85" s="25"/>
      <c r="B85" s="20"/>
      <c r="C85" s="24"/>
      <c r="D85" s="24"/>
      <c r="E85" s="24"/>
      <c r="F85" s="36" t="str">
        <f aca="false">IF($B85="","",COUNTIFS(アクション管理!$B$2:$B$201,$B85))</f>
        <v/>
      </c>
      <c r="G85" s="36" t="str">
        <f aca="false">IF($B85="","",COUNTIFS(アクション管理!$B$2:$B$201,$B85)-COUNTIFS(アクション管理!$B$2:$B$201,$B85,アクション管理!$G$2:$G$201,"完了")-COUNTIFS(アクション管理!$B$2:$B$201,$B85,アクション管理!$G$2:$G$201,"中止"))</f>
        <v/>
      </c>
      <c r="H85" s="20"/>
    </row>
    <row r="86" customFormat="false" ht="15" hidden="false" customHeight="false" outlineLevel="0" collapsed="false">
      <c r="A86" s="25"/>
      <c r="B86" s="20"/>
      <c r="C86" s="24"/>
      <c r="D86" s="24"/>
      <c r="E86" s="24"/>
      <c r="F86" s="36" t="str">
        <f aca="false">IF($B86="","",COUNTIFS(アクション管理!$B$2:$B$201,$B86))</f>
        <v/>
      </c>
      <c r="G86" s="36" t="str">
        <f aca="false">IF($B86="","",COUNTIFS(アクション管理!$B$2:$B$201,$B86)-COUNTIFS(アクション管理!$B$2:$B$201,$B86,アクション管理!$G$2:$G$201,"完了")-COUNTIFS(アクション管理!$B$2:$B$201,$B86,アクション管理!$G$2:$G$201,"中止"))</f>
        <v/>
      </c>
      <c r="H86" s="20"/>
    </row>
    <row r="87" customFormat="false" ht="15" hidden="false" customHeight="false" outlineLevel="0" collapsed="false">
      <c r="A87" s="25"/>
      <c r="B87" s="20"/>
      <c r="C87" s="24"/>
      <c r="D87" s="24"/>
      <c r="E87" s="24"/>
      <c r="F87" s="36" t="str">
        <f aca="false">IF($B87="","",COUNTIFS(アクション管理!$B$2:$B$201,$B87))</f>
        <v/>
      </c>
      <c r="G87" s="36" t="str">
        <f aca="false">IF($B87="","",COUNTIFS(アクション管理!$B$2:$B$201,$B87)-COUNTIFS(アクション管理!$B$2:$B$201,$B87,アクション管理!$G$2:$G$201,"完了")-COUNTIFS(アクション管理!$B$2:$B$201,$B87,アクション管理!$G$2:$G$201,"中止"))</f>
        <v/>
      </c>
      <c r="H87" s="20"/>
    </row>
    <row r="88" customFormat="false" ht="15" hidden="false" customHeight="false" outlineLevel="0" collapsed="false">
      <c r="A88" s="25"/>
      <c r="B88" s="20"/>
      <c r="C88" s="24"/>
      <c r="D88" s="24"/>
      <c r="E88" s="24"/>
      <c r="F88" s="36" t="str">
        <f aca="false">IF($B88="","",COUNTIFS(アクション管理!$B$2:$B$201,$B88))</f>
        <v/>
      </c>
      <c r="G88" s="36" t="str">
        <f aca="false">IF($B88="","",COUNTIFS(アクション管理!$B$2:$B$201,$B88)-COUNTIFS(アクション管理!$B$2:$B$201,$B88,アクション管理!$G$2:$G$201,"完了")-COUNTIFS(アクション管理!$B$2:$B$201,$B88,アクション管理!$G$2:$G$201,"中止"))</f>
        <v/>
      </c>
      <c r="H88" s="20"/>
    </row>
    <row r="89" customFormat="false" ht="15" hidden="false" customHeight="false" outlineLevel="0" collapsed="false">
      <c r="A89" s="25"/>
      <c r="B89" s="20"/>
      <c r="C89" s="24"/>
      <c r="D89" s="24"/>
      <c r="E89" s="24"/>
      <c r="F89" s="36" t="str">
        <f aca="false">IF($B89="","",COUNTIFS(アクション管理!$B$2:$B$201,$B89))</f>
        <v/>
      </c>
      <c r="G89" s="36" t="str">
        <f aca="false">IF($B89="","",COUNTIFS(アクション管理!$B$2:$B$201,$B89)-COUNTIFS(アクション管理!$B$2:$B$201,$B89,アクション管理!$G$2:$G$201,"完了")-COUNTIFS(アクション管理!$B$2:$B$201,$B89,アクション管理!$G$2:$G$201,"中止"))</f>
        <v/>
      </c>
      <c r="H89" s="20"/>
    </row>
    <row r="90" customFormat="false" ht="15" hidden="false" customHeight="false" outlineLevel="0" collapsed="false">
      <c r="A90" s="25"/>
      <c r="B90" s="20"/>
      <c r="C90" s="24"/>
      <c r="D90" s="24"/>
      <c r="E90" s="24"/>
      <c r="F90" s="36" t="str">
        <f aca="false">IF($B90="","",COUNTIFS(アクション管理!$B$2:$B$201,$B90))</f>
        <v/>
      </c>
      <c r="G90" s="36" t="str">
        <f aca="false">IF($B90="","",COUNTIFS(アクション管理!$B$2:$B$201,$B90)-COUNTIFS(アクション管理!$B$2:$B$201,$B90,アクション管理!$G$2:$G$201,"完了")-COUNTIFS(アクション管理!$B$2:$B$201,$B90,アクション管理!$G$2:$G$201,"中止"))</f>
        <v/>
      </c>
      <c r="H90" s="20"/>
    </row>
    <row r="91" customFormat="false" ht="15" hidden="false" customHeight="false" outlineLevel="0" collapsed="false">
      <c r="A91" s="25"/>
      <c r="B91" s="20"/>
      <c r="C91" s="24"/>
      <c r="D91" s="24"/>
      <c r="E91" s="24"/>
      <c r="F91" s="36" t="str">
        <f aca="false">IF($B91="","",COUNTIFS(アクション管理!$B$2:$B$201,$B91))</f>
        <v/>
      </c>
      <c r="G91" s="36" t="str">
        <f aca="false">IF($B91="","",COUNTIFS(アクション管理!$B$2:$B$201,$B91)-COUNTIFS(アクション管理!$B$2:$B$201,$B91,アクション管理!$G$2:$G$201,"完了")-COUNTIFS(アクション管理!$B$2:$B$201,$B91,アクション管理!$G$2:$G$201,"中止"))</f>
        <v/>
      </c>
      <c r="H91" s="20"/>
    </row>
    <row r="92" customFormat="false" ht="15" hidden="false" customHeight="false" outlineLevel="0" collapsed="false">
      <c r="A92" s="25"/>
      <c r="B92" s="20"/>
      <c r="C92" s="24"/>
      <c r="D92" s="24"/>
      <c r="E92" s="24"/>
      <c r="F92" s="36" t="str">
        <f aca="false">IF($B92="","",COUNTIFS(アクション管理!$B$2:$B$201,$B92))</f>
        <v/>
      </c>
      <c r="G92" s="36" t="str">
        <f aca="false">IF($B92="","",COUNTIFS(アクション管理!$B$2:$B$201,$B92)-COUNTIFS(アクション管理!$B$2:$B$201,$B92,アクション管理!$G$2:$G$201,"完了")-COUNTIFS(アクション管理!$B$2:$B$201,$B92,アクション管理!$G$2:$G$201,"中止"))</f>
        <v/>
      </c>
      <c r="H92" s="20"/>
    </row>
    <row r="93" customFormat="false" ht="15" hidden="false" customHeight="false" outlineLevel="0" collapsed="false">
      <c r="A93" s="25"/>
      <c r="B93" s="20"/>
      <c r="C93" s="24"/>
      <c r="D93" s="24"/>
      <c r="E93" s="24"/>
      <c r="F93" s="36" t="str">
        <f aca="false">IF($B93="","",COUNTIFS(アクション管理!$B$2:$B$201,$B93))</f>
        <v/>
      </c>
      <c r="G93" s="36" t="str">
        <f aca="false">IF($B93="","",COUNTIFS(アクション管理!$B$2:$B$201,$B93)-COUNTIFS(アクション管理!$B$2:$B$201,$B93,アクション管理!$G$2:$G$201,"完了")-COUNTIFS(アクション管理!$B$2:$B$201,$B93,アクション管理!$G$2:$G$201,"中止"))</f>
        <v/>
      </c>
      <c r="H93" s="20"/>
    </row>
    <row r="94" customFormat="false" ht="15" hidden="false" customHeight="false" outlineLevel="0" collapsed="false">
      <c r="A94" s="25"/>
      <c r="B94" s="20"/>
      <c r="C94" s="24"/>
      <c r="D94" s="24"/>
      <c r="E94" s="24"/>
      <c r="F94" s="36" t="str">
        <f aca="false">IF($B94="","",COUNTIFS(アクション管理!$B$2:$B$201,$B94))</f>
        <v/>
      </c>
      <c r="G94" s="36" t="str">
        <f aca="false">IF($B94="","",COUNTIFS(アクション管理!$B$2:$B$201,$B94)-COUNTIFS(アクション管理!$B$2:$B$201,$B94,アクション管理!$G$2:$G$201,"完了")-COUNTIFS(アクション管理!$B$2:$B$201,$B94,アクション管理!$G$2:$G$201,"中止"))</f>
        <v/>
      </c>
      <c r="H94" s="20"/>
    </row>
    <row r="95" customFormat="false" ht="15" hidden="false" customHeight="false" outlineLevel="0" collapsed="false">
      <c r="A95" s="25"/>
      <c r="B95" s="20"/>
      <c r="C95" s="24"/>
      <c r="D95" s="24"/>
      <c r="E95" s="24"/>
      <c r="F95" s="36" t="str">
        <f aca="false">IF($B95="","",COUNTIFS(アクション管理!$B$2:$B$201,$B95))</f>
        <v/>
      </c>
      <c r="G95" s="36" t="str">
        <f aca="false">IF($B95="","",COUNTIFS(アクション管理!$B$2:$B$201,$B95)-COUNTIFS(アクション管理!$B$2:$B$201,$B95,アクション管理!$G$2:$G$201,"完了")-COUNTIFS(アクション管理!$B$2:$B$201,$B95,アクション管理!$G$2:$G$201,"中止"))</f>
        <v/>
      </c>
      <c r="H95" s="20"/>
    </row>
    <row r="96" customFormat="false" ht="15" hidden="false" customHeight="false" outlineLevel="0" collapsed="false">
      <c r="A96" s="25"/>
      <c r="B96" s="20"/>
      <c r="C96" s="24"/>
      <c r="D96" s="24"/>
      <c r="E96" s="24"/>
      <c r="F96" s="36" t="str">
        <f aca="false">IF($B96="","",COUNTIFS(アクション管理!$B$2:$B$201,$B96))</f>
        <v/>
      </c>
      <c r="G96" s="36" t="str">
        <f aca="false">IF($B96="","",COUNTIFS(アクション管理!$B$2:$B$201,$B96)-COUNTIFS(アクション管理!$B$2:$B$201,$B96,アクション管理!$G$2:$G$201,"完了")-COUNTIFS(アクション管理!$B$2:$B$201,$B96,アクション管理!$G$2:$G$201,"中止"))</f>
        <v/>
      </c>
      <c r="H96" s="20"/>
    </row>
    <row r="97" customFormat="false" ht="15" hidden="false" customHeight="false" outlineLevel="0" collapsed="false">
      <c r="A97" s="25"/>
      <c r="B97" s="20"/>
      <c r="C97" s="24"/>
      <c r="D97" s="24"/>
      <c r="E97" s="24"/>
      <c r="F97" s="36" t="str">
        <f aca="false">IF($B97="","",COUNTIFS(アクション管理!$B$2:$B$201,$B97))</f>
        <v/>
      </c>
      <c r="G97" s="36" t="str">
        <f aca="false">IF($B97="","",COUNTIFS(アクション管理!$B$2:$B$201,$B97)-COUNTIFS(アクション管理!$B$2:$B$201,$B97,アクション管理!$G$2:$G$201,"完了")-COUNTIFS(アクション管理!$B$2:$B$201,$B97,アクション管理!$G$2:$G$201,"中止"))</f>
        <v/>
      </c>
      <c r="H97" s="20"/>
    </row>
    <row r="98" customFormat="false" ht="15" hidden="false" customHeight="false" outlineLevel="0" collapsed="false">
      <c r="A98" s="25"/>
      <c r="B98" s="20"/>
      <c r="C98" s="24"/>
      <c r="D98" s="24"/>
      <c r="E98" s="24"/>
      <c r="F98" s="36" t="str">
        <f aca="false">IF($B98="","",COUNTIFS(アクション管理!$B$2:$B$201,$B98))</f>
        <v/>
      </c>
      <c r="G98" s="36" t="str">
        <f aca="false">IF($B98="","",COUNTIFS(アクション管理!$B$2:$B$201,$B98)-COUNTIFS(アクション管理!$B$2:$B$201,$B98,アクション管理!$G$2:$G$201,"完了")-COUNTIFS(アクション管理!$B$2:$B$201,$B98,アクション管理!$G$2:$G$201,"中止"))</f>
        <v/>
      </c>
      <c r="H98" s="20"/>
    </row>
    <row r="99" customFormat="false" ht="15" hidden="false" customHeight="false" outlineLevel="0" collapsed="false">
      <c r="A99" s="25"/>
      <c r="B99" s="20"/>
      <c r="C99" s="24"/>
      <c r="D99" s="24"/>
      <c r="E99" s="24"/>
      <c r="F99" s="36" t="str">
        <f aca="false">IF($B99="","",COUNTIFS(アクション管理!$B$2:$B$201,$B99))</f>
        <v/>
      </c>
      <c r="G99" s="36" t="str">
        <f aca="false">IF($B99="","",COUNTIFS(アクション管理!$B$2:$B$201,$B99)-COUNTIFS(アクション管理!$B$2:$B$201,$B99,アクション管理!$G$2:$G$201,"完了")-COUNTIFS(アクション管理!$B$2:$B$201,$B99,アクション管理!$G$2:$G$201,"中止"))</f>
        <v/>
      </c>
      <c r="H99" s="20"/>
    </row>
    <row r="100" customFormat="false" ht="15" hidden="false" customHeight="false" outlineLevel="0" collapsed="false">
      <c r="A100" s="25"/>
      <c r="B100" s="20"/>
      <c r="C100" s="24"/>
      <c r="D100" s="24"/>
      <c r="E100" s="24"/>
      <c r="F100" s="36" t="str">
        <f aca="false">IF($B100="","",COUNTIFS(アクション管理!$B$2:$B$201,$B100))</f>
        <v/>
      </c>
      <c r="G100" s="36" t="str">
        <f aca="false">IF($B100="","",COUNTIFS(アクション管理!$B$2:$B$201,$B100)-COUNTIFS(アクション管理!$B$2:$B$201,$B100,アクション管理!$G$2:$G$201,"完了")-COUNTIFS(アクション管理!$B$2:$B$201,$B100,アクション管理!$G$2:$G$201,"中止"))</f>
        <v/>
      </c>
      <c r="H100" s="20"/>
    </row>
    <row r="101" customFormat="false" ht="15" hidden="false" customHeight="false" outlineLevel="0" collapsed="false">
      <c r="A101" s="25"/>
      <c r="B101" s="20"/>
      <c r="C101" s="24"/>
      <c r="D101" s="24"/>
      <c r="E101" s="24"/>
      <c r="F101" s="36" t="str">
        <f aca="false">IF($B101="","",COUNTIFS(アクション管理!$B$2:$B$201,$B101))</f>
        <v/>
      </c>
      <c r="G101" s="36" t="str">
        <f aca="false">IF($B101="","",COUNTIFS(アクション管理!$B$2:$B$201,$B101)-COUNTIFS(アクション管理!$B$2:$B$201,$B101,アクション管理!$G$2:$G$201,"完了")-COUNTIFS(アクション管理!$B$2:$B$201,$B101,アクション管理!$G$2:$G$201,"中止"))</f>
        <v/>
      </c>
      <c r="H101" s="20"/>
    </row>
  </sheetData>
  <autoFilter ref="A1:H101"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</cols>
  <sheetData>
    <row r="1" customFormat="false" ht="15" hidden="false" customHeight="false" outlineLevel="0" collapsed="false">
      <c r="A1" s="26" t="s">
        <v>74</v>
      </c>
      <c r="B1" s="26" t="s">
        <v>117</v>
      </c>
    </row>
    <row r="2" customFormat="false" ht="15" hidden="false" customHeight="false" outlineLevel="0" collapsed="false">
      <c r="A2" s="37" t="s">
        <v>27</v>
      </c>
      <c r="B2" s="7" t="s">
        <v>118</v>
      </c>
    </row>
    <row r="3" customFormat="false" ht="15" hidden="false" customHeight="false" outlineLevel="0" collapsed="false">
      <c r="A3" s="37" t="s">
        <v>28</v>
      </c>
      <c r="B3" s="7" t="s">
        <v>119</v>
      </c>
    </row>
    <row r="4" customFormat="false" ht="15" hidden="false" customHeight="false" outlineLevel="0" collapsed="false">
      <c r="A4" s="37" t="s">
        <v>29</v>
      </c>
      <c r="B4" s="7" t="s">
        <v>120</v>
      </c>
    </row>
    <row r="5" customFormat="false" ht="15" hidden="false" customHeight="false" outlineLevel="0" collapsed="false">
      <c r="A5" s="37" t="s">
        <v>121</v>
      </c>
      <c r="B5" s="7" t="s">
        <v>122</v>
      </c>
    </row>
    <row r="6" customFormat="false" ht="15" hidden="false" customHeight="false" outlineLevel="0" collapsed="false">
      <c r="A6" s="37" t="s">
        <v>123</v>
      </c>
      <c r="B6" s="7" t="s">
        <v>124</v>
      </c>
    </row>
    <row r="8" customFormat="false" ht="15" hidden="false" customHeight="true" outlineLevel="0" collapsed="false">
      <c r="A8" s="18" t="s">
        <v>125</v>
      </c>
      <c r="B8" s="18"/>
    </row>
  </sheetData>
  <mergeCells count="1">
    <mergeCell ref="A8:B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2026-09-18T11:44:41Z</dcterms:created>
  <dc:creator>openpyxl</dc:creator>
  <dc:description/>
  <dc:language>en-US</dc:language>
  <cp:lastModifiedBy/>
  <dcterms:modified xsi:type="dcterms:W3CDTF">2026-09-18T11:44:41Z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