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前提条件" sheetId="2" state="visible" r:id="rId4"/>
    <sheet name="月次シミュレーション" sheetId="3" state="visible" r:id="rId5"/>
    <sheet name="年次サマリー" sheetId="4" state="visible" r:id="rId6"/>
    <sheet name="感度分析" sheetId="5" state="visible" r:id="rId7"/>
    <sheet name="開設ロードマップ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<sst xmlns="http://schemas.openxmlformats.org/spreadsheetml/2006/main" count="252" uniqueCount="215">
  <si>
    <r>
      <rPr>
        <b val="true"/>
        <sz val="14"/>
        <rFont val="WenQuanYi Zen Hei"/>
        <family val="2"/>
      </rPr>
      <t xml:space="preserve">就労継続支援</t>
    </r>
    <r>
      <rPr>
        <b val="true"/>
        <sz val="14"/>
        <rFont val="Meiryo UI"/>
        <family val="0"/>
        <charset val="1"/>
      </rPr>
      <t xml:space="preserve">B</t>
    </r>
    <r>
      <rPr>
        <b val="true"/>
        <sz val="14"/>
        <rFont val="WenQuanYi Zen Hei"/>
        <family val="2"/>
      </rPr>
      <t xml:space="preserve">型 愛媛（西条市）開設シミュレーション</t>
    </r>
  </si>
  <si>
    <r>
      <rPr>
        <sz val="11"/>
        <color theme="1"/>
        <rFont val="WenQuanYi Zen Hei"/>
        <family val="2"/>
      </rPr>
      <t xml:space="preserve">クロスボーダーキャリアパス構想「全国にトータルサポートを。」の第一歩として、放課後等デイサービス卒業後の受け皿となる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WenQuanYi Zen Hei"/>
        <family val="2"/>
      </rPr>
      <t xml:space="preserve">型事業所を愛媛で開設した場合の収支を試算します。</t>
    </r>
  </si>
  <si>
    <t xml:space="preserve">■ シートの構成</t>
  </si>
  <si>
    <t xml:space="preserve">前提条件：すべての入力値。青字・黄色セルを変えると全シートが再計算されます。シナリオ（慎重／標準／積極）はここで切り替えます。</t>
  </si>
  <si>
    <r>
      <rPr>
        <sz val="11"/>
        <color theme="1"/>
        <rFont val="WenQuanYi Zen Hei"/>
        <family val="2"/>
      </rPr>
      <t xml:space="preserve">月次シミュレーション：開設前＋</t>
    </r>
    <r>
      <rPr>
        <sz val="11"/>
        <color theme="1"/>
        <rFont val="Meiryo UI"/>
        <family val="0"/>
        <charset val="1"/>
      </rPr>
      <t xml:space="preserve">36</t>
    </r>
    <r>
      <rPr>
        <sz val="11"/>
        <color theme="1"/>
        <rFont val="WenQuanYi Zen Hei"/>
        <family val="2"/>
      </rPr>
      <t xml:space="preserve">か月の利用者数・給付費・費用・営業利益・資金残高（国保連入金は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WenQuanYi Zen Hei"/>
        <family val="2"/>
      </rPr>
      <t xml:space="preserve">か月遅れ）。</t>
    </r>
  </si>
  <si>
    <r>
      <rPr>
        <sz val="11"/>
        <color theme="1"/>
        <rFont val="WenQuanYi Zen Hei"/>
        <family val="2"/>
      </rPr>
      <t xml:space="preserve">年次サマリー：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3</t>
    </r>
    <r>
      <rPr>
        <sz val="11"/>
        <color theme="1"/>
        <rFont val="WenQuanYi Zen Hei"/>
        <family val="2"/>
      </rPr>
      <t xml:space="preserve">年目の損益、単月黒字化月、投資回収月。</t>
    </r>
  </si>
  <si>
    <t xml:space="preserve">感度分析：平均利用者数と基本報酬区分（平均工賃月額）を変えた場合の安定期の年間営業利益。</t>
  </si>
  <si>
    <t xml:space="preserve">開設ロードマップ：開設までの準備工程と、キャレオス内の連携先。</t>
  </si>
  <si>
    <t xml:space="preserve">■ セルの色分け</t>
  </si>
  <si>
    <t xml:space="preserve">青字＋黄色塗り＝入力する前提値（ここだけ変更してください） ／ 黒字＝計算式 ／ 緑字＝他シートからの参照</t>
  </si>
  <si>
    <t xml:space="preserve">■ 制度面の前提と出典（必ず最新の告示・愛媛県／西条市の確認を）</t>
  </si>
  <si>
    <r>
      <rPr>
        <sz val="11"/>
        <color theme="1"/>
        <rFont val="WenQuanYi Zen Hei"/>
        <family val="2"/>
      </rPr>
      <t xml:space="preserve">・基本報酬：就労継続支援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WenQuanYi Zen Hei"/>
        <family val="2"/>
      </rPr>
      <t xml:space="preserve">型サービス費（Ⅰ）人員配置</t>
    </r>
    <r>
      <rPr>
        <sz val="11"/>
        <color theme="1"/>
        <rFont val="Meiryo UI"/>
        <family val="0"/>
        <charset val="1"/>
      </rPr>
      <t xml:space="preserve">6:1</t>
    </r>
    <r>
      <rPr>
        <sz val="11"/>
        <color theme="1"/>
        <rFont val="WenQuanYi Zen Hei"/>
        <family val="2"/>
      </rPr>
      <t xml:space="preserve">・定員</t>
    </r>
    <r>
      <rPr>
        <sz val="11"/>
        <color theme="1"/>
        <rFont val="Meiryo UI"/>
        <family val="0"/>
        <charset val="1"/>
      </rPr>
      <t xml:space="preserve">20</t>
    </r>
    <r>
      <rPr>
        <sz val="11"/>
        <color theme="1"/>
        <rFont val="WenQuanYi Zen Hei"/>
        <family val="2"/>
      </rPr>
      <t xml:space="preserve">人以下。単位数は令和</t>
    </r>
    <r>
      <rPr>
        <sz val="11"/>
        <color theme="1"/>
        <rFont val="Meiryo UI"/>
        <family val="0"/>
        <charset val="1"/>
      </rPr>
      <t xml:space="preserve">6</t>
    </r>
    <r>
      <rPr>
        <sz val="11"/>
        <color theme="1"/>
        <rFont val="WenQuanYi Zen Hei"/>
        <family val="2"/>
      </rPr>
      <t xml:space="preserve">年度改定の値（</t>
    </r>
    <r>
      <rPr>
        <sz val="11"/>
        <color theme="1"/>
        <rFont val="Meiryo UI"/>
        <family val="0"/>
        <charset val="1"/>
      </rPr>
      <t xml:space="preserve">837/805/758/738/726/703/673/590</t>
    </r>
    <r>
      <rPr>
        <sz val="11"/>
        <color theme="1"/>
        <rFont val="WenQuanYi Zen Hei"/>
        <family val="2"/>
      </rPr>
      <t xml:space="preserve">単位）。</t>
    </r>
  </si>
  <si>
    <r>
      <rPr>
        <sz val="11"/>
        <color theme="1"/>
        <rFont val="WenQuanYi Zen Hei"/>
        <family val="2"/>
      </rPr>
      <t xml:space="preserve">・令和</t>
    </r>
    <r>
      <rPr>
        <sz val="11"/>
        <color theme="1"/>
        <rFont val="Meiryo UI"/>
        <family val="0"/>
        <charset val="1"/>
      </rPr>
      <t xml:space="preserve">8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6</t>
    </r>
    <r>
      <rPr>
        <sz val="11"/>
        <color theme="1"/>
        <rFont val="WenQuanYi Zen Hei"/>
        <family val="2"/>
      </rPr>
      <t xml:space="preserve">月の臨時応急的な見直し：区分一〜六の平均工賃月額の下限を</t>
    </r>
    <r>
      <rPr>
        <sz val="11"/>
        <color theme="1"/>
        <rFont val="Meiryo UI"/>
        <family val="0"/>
        <charset val="1"/>
      </rPr>
      <t xml:space="preserve">3,000</t>
    </r>
    <r>
      <rPr>
        <sz val="11"/>
        <color theme="1"/>
        <rFont val="WenQuanYi Zen Hei"/>
        <family val="2"/>
      </rPr>
      <t xml:space="preserve">円引き上げ（例：</t>
    </r>
    <r>
      <rPr>
        <sz val="11"/>
        <color theme="1"/>
        <rFont val="Meiryo UI"/>
        <family val="0"/>
        <charset val="1"/>
      </rPr>
      <t xml:space="preserve">4.5</t>
    </r>
    <r>
      <rPr>
        <sz val="11"/>
        <color theme="1"/>
        <rFont val="WenQuanYi Zen Hei"/>
        <family val="2"/>
      </rPr>
      <t xml:space="preserve">万円→</t>
    </r>
    <r>
      <rPr>
        <sz val="11"/>
        <color theme="1"/>
        <rFont val="Meiryo UI"/>
        <family val="0"/>
        <charset val="1"/>
      </rPr>
      <t xml:space="preserve">4.8</t>
    </r>
    <r>
      <rPr>
        <sz val="11"/>
        <color theme="1"/>
        <rFont val="WenQuanYi Zen Hei"/>
        <family val="2"/>
      </rPr>
      <t xml:space="preserve">万円）、中間区分（</t>
    </r>
    <r>
      <rPr>
        <sz val="11"/>
        <color theme="1"/>
        <rFont val="Meiryo UI"/>
        <family val="0"/>
        <charset val="1"/>
      </rPr>
      <t xml:space="preserve">A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F</t>
    </r>
    <r>
      <rPr>
        <sz val="11"/>
        <color theme="1"/>
        <rFont val="WenQuanYi Zen Hei"/>
        <family val="2"/>
      </rPr>
      <t xml:space="preserve">）を新設。本シートは中間区分を省略し、下の区分で算定しています（＝保守的）。</t>
    </r>
  </si>
  <si>
    <r>
      <rPr>
        <sz val="11"/>
        <color theme="1"/>
        <rFont val="WenQuanYi Zen Hei"/>
        <family val="2"/>
      </rPr>
      <t xml:space="preserve">・令和</t>
    </r>
    <r>
      <rPr>
        <sz val="11"/>
        <color theme="1"/>
        <rFont val="Meiryo UI"/>
        <family val="0"/>
        <charset val="1"/>
      </rPr>
      <t xml:space="preserve">8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6</t>
    </r>
    <r>
      <rPr>
        <sz val="11"/>
        <color theme="1"/>
        <rFont val="WenQuanYi Zen Hei"/>
        <family val="2"/>
      </rPr>
      <t xml:space="preserve">月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日以降に新規指定を受ける事業所は、令和</t>
    </r>
    <r>
      <rPr>
        <sz val="11"/>
        <color theme="1"/>
        <rFont val="Meiryo UI"/>
        <family val="0"/>
        <charset val="1"/>
      </rPr>
      <t xml:space="preserve">9</t>
    </r>
    <r>
      <rPr>
        <sz val="11"/>
        <color theme="1"/>
        <rFont val="WenQuanYi Zen Hei"/>
        <family val="2"/>
      </rPr>
      <t xml:space="preserve">年度改定までの間、基本報酬が所定単位数の</t>
    </r>
    <r>
      <rPr>
        <sz val="11"/>
        <color theme="1"/>
        <rFont val="Meiryo UI"/>
        <family val="0"/>
        <charset val="1"/>
      </rPr>
      <t xml:space="preserve">1000</t>
    </r>
    <r>
      <rPr>
        <sz val="11"/>
        <color theme="1"/>
        <rFont val="WenQuanYi Zen Hei"/>
        <family val="2"/>
      </rPr>
      <t xml:space="preserve">分の</t>
    </r>
    <r>
      <rPr>
        <sz val="11"/>
        <color theme="1"/>
        <rFont val="Meiryo UI"/>
        <family val="0"/>
        <charset val="1"/>
      </rPr>
      <t xml:space="preserve">984</t>
    </r>
    <r>
      <rPr>
        <sz val="11"/>
        <color theme="1"/>
        <rFont val="WenQuanYi Zen Hei"/>
        <family val="2"/>
      </rPr>
      <t xml:space="preserve">。令和</t>
    </r>
    <r>
      <rPr>
        <sz val="11"/>
        <color theme="1"/>
        <rFont val="Meiryo UI"/>
        <family val="0"/>
        <charset val="1"/>
      </rPr>
      <t xml:space="preserve">9</t>
    </r>
    <r>
      <rPr>
        <sz val="11"/>
        <color theme="1"/>
        <rFont val="WenQuanYi Zen Hei"/>
        <family val="2"/>
      </rPr>
      <t xml:space="preserve">年度改定（</t>
    </r>
    <r>
      <rPr>
        <sz val="11"/>
        <color theme="1"/>
        <rFont val="Meiryo UI"/>
        <family val="0"/>
        <charset val="1"/>
      </rPr>
      <t xml:space="preserve">2027</t>
    </r>
    <r>
      <rPr>
        <sz val="11"/>
        <color theme="1"/>
        <rFont val="WenQuanYi Zen Hei"/>
        <family val="2"/>
      </rPr>
      <t xml:space="preserve">年度）の内容は未定のため、本シートでは</t>
    </r>
    <r>
      <rPr>
        <sz val="11"/>
        <color theme="1"/>
        <rFont val="Meiryo UI"/>
        <family val="0"/>
        <charset val="1"/>
      </rPr>
      <t xml:space="preserve">3</t>
    </r>
    <r>
      <rPr>
        <sz val="11"/>
        <color theme="1"/>
        <rFont val="WenQuanYi Zen Hei"/>
        <family val="2"/>
      </rPr>
      <t xml:space="preserve">年間ずっと</t>
    </r>
    <r>
      <rPr>
        <sz val="11"/>
        <color theme="1"/>
        <rFont val="Meiryo UI"/>
        <family val="0"/>
        <charset val="1"/>
      </rPr>
      <t xml:space="preserve">984/1000</t>
    </r>
    <r>
      <rPr>
        <sz val="11"/>
        <color theme="1"/>
        <rFont val="WenQuanYi Zen Hei"/>
        <family val="2"/>
      </rPr>
      <t xml:space="preserve">を掛けています（保守的）。</t>
    </r>
  </si>
  <si>
    <r>
      <rPr>
        <sz val="11"/>
        <color theme="1"/>
        <rFont val="WenQuanYi Zen Hei"/>
        <family val="2"/>
      </rPr>
      <t xml:space="preserve">・新規指定の初年度の算定区分は「平均工賃月額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万円以上</t>
    </r>
    <r>
      <rPr>
        <sz val="11"/>
        <color theme="1"/>
        <rFont val="Meiryo UI"/>
        <family val="0"/>
        <charset val="1"/>
      </rPr>
      <t xml:space="preserve">1.5</t>
    </r>
    <r>
      <rPr>
        <sz val="11"/>
        <color theme="1"/>
        <rFont val="WenQuanYi Zen Hei"/>
        <family val="2"/>
      </rPr>
      <t xml:space="preserve">万円未満」（</t>
    </r>
    <r>
      <rPr>
        <sz val="11"/>
        <color theme="1"/>
        <rFont val="Meiryo UI"/>
        <family val="0"/>
        <charset val="1"/>
      </rPr>
      <t xml:space="preserve">673</t>
    </r>
    <r>
      <rPr>
        <sz val="11"/>
        <color theme="1"/>
        <rFont val="WenQuanYi Zen Hei"/>
        <family val="2"/>
      </rPr>
      <t xml:space="preserve">単位）と仮定（要確認）。</t>
    </r>
  </si>
  <si>
    <r>
      <rPr>
        <sz val="11"/>
        <color theme="1"/>
        <rFont val="WenQuanYi Zen Hei"/>
        <family val="2"/>
      </rPr>
      <t xml:space="preserve">・地域区分：西条市は「その他」＝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単位</t>
    </r>
    <r>
      <rPr>
        <sz val="11"/>
        <color theme="1"/>
        <rFont val="Meiryo UI"/>
        <family val="0"/>
        <charset val="1"/>
      </rPr>
      <t xml:space="preserve">10</t>
    </r>
    <r>
      <rPr>
        <sz val="11"/>
        <color theme="1"/>
        <rFont val="WenQuanYi Zen Hei"/>
        <family val="2"/>
      </rPr>
      <t xml:space="preserve">円と仮定（要確認）。</t>
    </r>
  </si>
  <si>
    <t xml:space="preserve">・処遇改善加算は職員の賃金改善に全額充てる前提で、収入と同額を人件費に計上（損益への影響はゼロ）。</t>
  </si>
  <si>
    <t xml:space="preserve">・人件費・家賃などの費用はすべて仮置きの値です。実際の見積もりに置き換えてください。</t>
  </si>
  <si>
    <r>
      <rPr>
        <sz val="11"/>
        <color theme="1"/>
        <rFont val="WenQuanYi Zen Hei"/>
        <family val="2"/>
      </rPr>
      <t xml:space="preserve">出典：</t>
    </r>
    <r>
      <rPr>
        <sz val="11"/>
        <color theme="1"/>
        <rFont val="Meiryo UI"/>
        <family val="0"/>
        <charset val="1"/>
      </rPr>
      <t xml:space="preserve">GLUG</t>
    </r>
    <r>
      <rPr>
        <sz val="11"/>
        <color theme="1"/>
        <rFont val="WenQuanYi Zen Hei"/>
        <family val="2"/>
      </rPr>
      <t xml:space="preserve">「就労継続支援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WenQuanYi Zen Hei"/>
        <family val="2"/>
      </rPr>
      <t xml:space="preserve">型の基本報酬・加算・減算を解説【</t>
    </r>
    <r>
      <rPr>
        <sz val="11"/>
        <color theme="1"/>
        <rFont val="Meiryo UI"/>
        <family val="0"/>
        <charset val="1"/>
      </rPr>
      <t xml:space="preserve">2024</t>
    </r>
    <r>
      <rPr>
        <sz val="11"/>
        <color theme="1"/>
        <rFont val="WenQuanYi Zen Hei"/>
        <family val="2"/>
      </rPr>
      <t xml:space="preserve">年度報酬改定対応】」 </t>
    </r>
    <r>
      <rPr>
        <sz val="11"/>
        <color theme="1"/>
        <rFont val="Meiryo UI"/>
        <family val="0"/>
        <charset val="1"/>
      </rPr>
      <t xml:space="preserve">https://glug.co.jp/column/welfare/098</t>
    </r>
  </si>
  <si>
    <r>
      <rPr>
        <sz val="11"/>
        <color theme="1"/>
        <rFont val="WenQuanYi Zen Hei"/>
        <family val="2"/>
      </rPr>
      <t xml:space="preserve">出典：厚生労働省「就労継続支援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WenQuanYi Zen Hei"/>
        <family val="2"/>
      </rPr>
      <t xml:space="preserve">型・基本報酬算定区分（令和</t>
    </r>
    <r>
      <rPr>
        <sz val="11"/>
        <color theme="1"/>
        <rFont val="Meiryo UI"/>
        <family val="0"/>
        <charset val="1"/>
      </rPr>
      <t xml:space="preserve">8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6</t>
    </r>
    <r>
      <rPr>
        <sz val="11"/>
        <color theme="1"/>
        <rFont val="WenQuanYi Zen Hei"/>
        <family val="2"/>
      </rPr>
      <t xml:space="preserve">月以降分）」 </t>
    </r>
    <r>
      <rPr>
        <sz val="11"/>
        <color theme="1"/>
        <rFont val="Meiryo UI"/>
        <family val="0"/>
        <charset val="1"/>
      </rPr>
      <t xml:space="preserve">https://www.mhlw.go.jp/content/001683302.xlsx</t>
    </r>
  </si>
  <si>
    <r>
      <rPr>
        <sz val="11"/>
        <color theme="1"/>
        <rFont val="WenQuanYi Zen Hei"/>
        <family val="2"/>
      </rPr>
      <t xml:space="preserve">出典：藤原行政書士事務所「令和</t>
    </r>
    <r>
      <rPr>
        <sz val="11"/>
        <color theme="1"/>
        <rFont val="Meiryo UI"/>
        <family val="0"/>
        <charset val="1"/>
      </rPr>
      <t xml:space="preserve">8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6</t>
    </r>
    <r>
      <rPr>
        <sz val="11"/>
        <color theme="1"/>
        <rFont val="WenQuanYi Zen Hei"/>
        <family val="2"/>
      </rPr>
      <t xml:space="preserve">月施行『新規指定事業所の基本報酬引き下げ』」 </t>
    </r>
    <r>
      <rPr>
        <sz val="11"/>
        <color theme="1"/>
        <rFont val="Meiryo UI"/>
        <family val="0"/>
        <charset val="1"/>
      </rPr>
      <t xml:space="preserve">https://fujiwaragyoseishoshi.com/kaitei20260522/</t>
    </r>
  </si>
  <si>
    <t xml:space="preserve">前提条件（入力シート）</t>
  </si>
  <si>
    <t xml:space="preserve">青字・黄色のセルが入力値です。</t>
  </si>
  <si>
    <t xml:space="preserve">項目</t>
  </si>
  <si>
    <t xml:space="preserve">値</t>
  </si>
  <si>
    <t xml:space="preserve">単位</t>
  </si>
  <si>
    <t xml:space="preserve">根拠・メモ</t>
  </si>
  <si>
    <t xml:space="preserve">■ シナリオ</t>
  </si>
  <si>
    <t xml:space="preserve">採用シナリオ</t>
  </si>
  <si>
    <t xml:space="preserve">標準</t>
  </si>
  <si>
    <t xml:space="preserve">「慎重」「標準」「積極」から選択（下のシナリオ表を参照）</t>
  </si>
  <si>
    <t xml:space="preserve">■ 事業所の基本</t>
  </si>
  <si>
    <t xml:space="preserve">開設月</t>
  </si>
  <si>
    <r>
      <rPr>
        <sz val="11"/>
        <color theme="1"/>
        <rFont val="WenQuanYi Zen Hei"/>
        <family val="2"/>
      </rPr>
      <t xml:space="preserve">指定申請・物件・採用に約</t>
    </r>
    <r>
      <rPr>
        <sz val="11"/>
        <color theme="1"/>
        <rFont val="Meiryo UI"/>
        <family val="0"/>
        <charset val="1"/>
      </rPr>
      <t xml:space="preserve">6</t>
    </r>
    <r>
      <rPr>
        <sz val="11"/>
        <color theme="1"/>
        <rFont val="WenQuanYi Zen Hei"/>
        <family val="2"/>
      </rPr>
      <t xml:space="preserve">か月かかる想定で</t>
    </r>
    <r>
      <rPr>
        <sz val="11"/>
        <color theme="1"/>
        <rFont val="Meiryo UI"/>
        <family val="0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4</t>
    </r>
    <r>
      <rPr>
        <sz val="11"/>
        <color theme="1"/>
        <rFont val="WenQuanYi Zen Hei"/>
        <family val="2"/>
      </rPr>
      <t xml:space="preserve">月開設</t>
    </r>
  </si>
  <si>
    <t xml:space="preserve">利用定員</t>
  </si>
  <si>
    <t xml:space="preserve">人</t>
  </si>
  <si>
    <r>
      <rPr>
        <sz val="11"/>
        <color theme="1"/>
        <rFont val="WenQuanYi Zen Hei"/>
        <family val="2"/>
      </rPr>
      <t xml:space="preserve">定員</t>
    </r>
    <r>
      <rPr>
        <sz val="11"/>
        <color theme="1"/>
        <rFont val="Meiryo UI"/>
        <family val="0"/>
        <charset val="1"/>
      </rPr>
      <t xml:space="preserve">20</t>
    </r>
    <r>
      <rPr>
        <sz val="11"/>
        <color theme="1"/>
        <rFont val="WenQuanYi Zen Hei"/>
        <family val="2"/>
      </rPr>
      <t xml:space="preserve">人以下の報酬区分</t>
    </r>
  </si>
  <si>
    <t xml:space="preserve">月の開所日数</t>
  </si>
  <si>
    <t xml:space="preserve">日</t>
  </si>
  <si>
    <t xml:space="preserve">平日開所（原則の日数）</t>
  </si>
  <si>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単位の単価</t>
    </r>
  </si>
  <si>
    <t xml:space="preserve">円</t>
  </si>
  <si>
    <t xml:space="preserve">地域区分「その他」を仮定（西条市、要確認）</t>
  </si>
  <si>
    <r>
      <rPr>
        <b val="true"/>
        <sz val="11"/>
        <rFont val="WenQuanYi Zen Hei"/>
        <family val="2"/>
      </rPr>
      <t xml:space="preserve">■ 報酬（</t>
    </r>
    <r>
      <rPr>
        <b val="true"/>
        <sz val="11"/>
        <rFont val="Meiryo UI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人</t>
    </r>
    <r>
      <rPr>
        <b val="true"/>
        <sz val="11"/>
        <rFont val="Meiryo UI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日あたり）</t>
    </r>
  </si>
  <si>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年目の基本報酬単位</t>
    </r>
  </si>
  <si>
    <r>
      <rPr>
        <sz val="11"/>
        <color theme="1"/>
        <rFont val="WenQuanYi Zen Hei"/>
        <family val="2"/>
      </rPr>
      <t xml:space="preserve">新規指定の初年度は「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万円以上</t>
    </r>
    <r>
      <rPr>
        <sz val="11"/>
        <color theme="1"/>
        <rFont val="Meiryo UI"/>
        <family val="0"/>
        <charset val="1"/>
      </rPr>
      <t xml:space="preserve">1.5</t>
    </r>
    <r>
      <rPr>
        <sz val="11"/>
        <color theme="1"/>
        <rFont val="WenQuanYi Zen Hei"/>
        <family val="2"/>
      </rPr>
      <t xml:space="preserve">万円未満」区分と仮定（要確認）</t>
    </r>
  </si>
  <si>
    <t xml:space="preserve">新規指定事業所の特例</t>
  </si>
  <si>
    <t xml:space="preserve">倍</t>
  </si>
  <si>
    <r>
      <rPr>
        <sz val="11"/>
        <color theme="1"/>
        <rFont val="WenQuanYi Zen Hei"/>
        <family val="2"/>
      </rPr>
      <t xml:space="preserve">令和</t>
    </r>
    <r>
      <rPr>
        <sz val="11"/>
        <color theme="1"/>
        <rFont val="Meiryo UI"/>
        <family val="0"/>
        <charset val="1"/>
      </rPr>
      <t xml:space="preserve">8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6</t>
    </r>
    <r>
      <rPr>
        <sz val="11"/>
        <color theme="1"/>
        <rFont val="WenQuanYi Zen Hei"/>
        <family val="2"/>
      </rPr>
      <t xml:space="preserve">月以降の新規指定：所定単位数</t>
    </r>
    <r>
      <rPr>
        <sz val="11"/>
        <color theme="1"/>
        <rFont val="Meiryo UI"/>
        <family val="0"/>
        <charset val="1"/>
      </rPr>
      <t xml:space="preserve">×984/1000</t>
    </r>
  </si>
  <si>
    <t xml:space="preserve">送迎加算（片道）</t>
  </si>
  <si>
    <t xml:space="preserve">送迎加算（Ⅰ）を仮定</t>
  </si>
  <si>
    <t xml:space="preserve">送迎の利用率</t>
  </si>
  <si>
    <t xml:space="preserve">利用者のうち送迎を使う割合（往復）</t>
  </si>
  <si>
    <t xml:space="preserve">食事提供体制加算</t>
  </si>
  <si>
    <r>
      <rPr>
        <sz val="11"/>
        <color theme="1"/>
        <rFont val="WenQuanYi Zen Hei"/>
        <family val="2"/>
      </rPr>
      <t xml:space="preserve">令和</t>
    </r>
    <r>
      <rPr>
        <sz val="11"/>
        <color theme="1"/>
        <rFont val="Meiryo UI"/>
        <family val="0"/>
        <charset val="1"/>
      </rPr>
      <t xml:space="preserve">9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3</t>
    </r>
    <r>
      <rPr>
        <sz val="11"/>
        <color theme="1"/>
        <rFont val="WenQuanYi Zen Hei"/>
        <family val="2"/>
      </rPr>
      <t xml:space="preserve">月までの経過措置の想定（要確認）</t>
    </r>
  </si>
  <si>
    <t xml:space="preserve">食事提供の対象率</t>
  </si>
  <si>
    <t xml:space="preserve">低所得等で対象となる利用者の割合</t>
  </si>
  <si>
    <t xml:space="preserve">福祉専門職員配置等加算</t>
  </si>
  <si>
    <t xml:space="preserve">（Ⅲ）を仮定</t>
  </si>
  <si>
    <t xml:space="preserve">処遇改善加算の率</t>
  </si>
  <si>
    <r>
      <rPr>
        <sz val="11"/>
        <color theme="1"/>
        <rFont val="WenQuanYi Zen Hei"/>
        <family val="2"/>
      </rPr>
      <t xml:space="preserve">（Ⅰ）</t>
    </r>
    <r>
      <rPr>
        <sz val="11"/>
        <color theme="1"/>
        <rFont val="Meiryo UI"/>
        <family val="0"/>
        <charset val="1"/>
      </rPr>
      <t xml:space="preserve">9.3%</t>
    </r>
    <r>
      <rPr>
        <sz val="11"/>
        <color theme="1"/>
        <rFont val="WenQuanYi Zen Hei"/>
        <family val="2"/>
      </rPr>
      <t xml:space="preserve">を仮定。全額を賃金改善に充当</t>
    </r>
  </si>
  <si>
    <t xml:space="preserve">■ 人件費（月額）</t>
  </si>
  <si>
    <t xml:space="preserve">管理者 兼 サービス管理責任者 給与</t>
  </si>
  <si>
    <t xml:space="preserve">仮置き。本人が管理者を担う想定</t>
  </si>
  <si>
    <r>
      <rPr>
        <sz val="11"/>
        <color theme="1"/>
        <rFont val="WenQuanYi Zen Hei"/>
        <family val="2"/>
      </rPr>
      <t xml:space="preserve">職業指導員・生活支援員 給与（常勤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人）</t>
    </r>
  </si>
  <si>
    <t xml:space="preserve">仮置き（愛媛の相場を要確認）</t>
  </si>
  <si>
    <t xml:space="preserve">人員配置（利用者：職員）</t>
  </si>
  <si>
    <r>
      <rPr>
        <sz val="11"/>
        <color theme="1"/>
        <rFont val="WenQuanYi Zen Hei"/>
        <family val="2"/>
      </rPr>
      <t xml:space="preserve">サービス費（Ⅰ）</t>
    </r>
    <r>
      <rPr>
        <sz val="11"/>
        <color theme="1"/>
        <rFont val="Meiryo UI"/>
        <family val="0"/>
        <charset val="1"/>
      </rPr>
      <t xml:space="preserve">6:1</t>
    </r>
  </si>
  <si>
    <t xml:space="preserve">支援員の最低人数（常勤換算）</t>
  </si>
  <si>
    <r>
      <rPr>
        <sz val="11"/>
        <color theme="1"/>
        <rFont val="WenQuanYi Zen Hei"/>
        <family val="2"/>
      </rPr>
      <t xml:space="preserve">立ち上げ期も最低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WenQuanYi Zen Hei"/>
        <family val="2"/>
      </rPr>
      <t xml:space="preserve">人は配置</t>
    </r>
  </si>
  <si>
    <t xml:space="preserve">賞与（年間の月数）</t>
  </si>
  <si>
    <t xml:space="preserve">か月</t>
  </si>
  <si>
    <t xml:space="preserve">月額に按分して計上</t>
  </si>
  <si>
    <t xml:space="preserve">法定福利費率</t>
  </si>
  <si>
    <t xml:space="preserve">社会保険料の会社負担</t>
  </si>
  <si>
    <t xml:space="preserve">送迎ドライバー（パート）</t>
  </si>
  <si>
    <t xml:space="preserve">仮置き</t>
  </si>
  <si>
    <t xml:space="preserve">■ その他の費用（月額）</t>
  </si>
  <si>
    <t xml:space="preserve">家賃</t>
  </si>
  <si>
    <r>
      <rPr>
        <sz val="11"/>
        <color theme="1"/>
        <rFont val="WenQuanYi Zen Hei"/>
        <family val="2"/>
      </rPr>
      <t xml:space="preserve">西条市内・約</t>
    </r>
    <r>
      <rPr>
        <sz val="11"/>
        <color theme="1"/>
        <rFont val="Meiryo UI"/>
        <family val="0"/>
        <charset val="1"/>
      </rPr>
      <t xml:space="preserve">50</t>
    </r>
    <r>
      <rPr>
        <sz val="11"/>
        <color theme="1"/>
        <rFont val="WenQuanYi Zen Hei"/>
        <family val="2"/>
      </rPr>
      <t xml:space="preserve">坪を仮定</t>
    </r>
  </si>
  <si>
    <r>
      <rPr>
        <sz val="11"/>
        <color theme="1"/>
        <rFont val="WenQuanYi Zen Hei"/>
        <family val="2"/>
      </rPr>
      <t xml:space="preserve">車両リース（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WenQuanYi Zen Hei"/>
        <family val="2"/>
      </rPr>
      <t xml:space="preserve">台）</t>
    </r>
  </si>
  <si>
    <r>
      <rPr>
        <sz val="11"/>
        <color theme="1"/>
        <rFont val="WenQuanYi Zen Hei"/>
        <family val="2"/>
      </rPr>
      <t xml:space="preserve">送迎車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WenQuanYi Zen Hei"/>
        <family val="2"/>
      </rPr>
      <t xml:space="preserve">台</t>
    </r>
  </si>
  <si>
    <t xml:space="preserve">水道光熱・通信・システム</t>
  </si>
  <si>
    <t xml:space="preserve">請求ソフト含む</t>
  </si>
  <si>
    <t xml:space="preserve">保険・広報・雑費</t>
  </si>
  <si>
    <r>
      <rPr>
        <sz val="11"/>
        <color theme="1"/>
        <rFont val="WenQuanYi Zen Hei"/>
        <family val="2"/>
      </rPr>
      <t xml:space="preserve">変動費（利用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人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日あたり）</t>
    </r>
  </si>
  <si>
    <t xml:space="preserve">消耗品・食材差額など</t>
  </si>
  <si>
    <t xml:space="preserve">本部費（給付費に対する率）</t>
  </si>
  <si>
    <t xml:space="preserve">法人本部への配賦を仮定</t>
  </si>
  <si>
    <t xml:space="preserve">■ 初期投資</t>
  </si>
  <si>
    <t xml:space="preserve">内装・設備工事</t>
  </si>
  <si>
    <r>
      <rPr>
        <sz val="11"/>
        <color theme="1"/>
        <rFont val="Meiryo UI"/>
        <family val="0"/>
        <charset val="1"/>
      </rPr>
      <t xml:space="preserve">10</t>
    </r>
    <r>
      <rPr>
        <sz val="11"/>
        <color theme="1"/>
        <rFont val="WenQuanYi Zen Hei"/>
        <family val="2"/>
      </rPr>
      <t xml:space="preserve">年で償却</t>
    </r>
  </si>
  <si>
    <t xml:space="preserve">備品・作業機器</t>
  </si>
  <si>
    <r>
      <rPr>
        <sz val="11"/>
        <color theme="1"/>
        <rFont val="Meiryo UI"/>
        <family val="0"/>
        <charset val="1"/>
      </rPr>
      <t xml:space="preserve">5</t>
    </r>
    <r>
      <rPr>
        <sz val="11"/>
        <color theme="1"/>
        <rFont val="WenQuanYi Zen Hei"/>
        <family val="2"/>
      </rPr>
      <t xml:space="preserve">年で償却</t>
    </r>
  </si>
  <si>
    <t xml:space="preserve">開設準備費（開設前の人件費・研修・広告）</t>
  </si>
  <si>
    <t xml:space="preserve">開設月の前に一括計上</t>
  </si>
  <si>
    <t xml:space="preserve">敷金・保証金</t>
  </si>
  <si>
    <t xml:space="preserve">資産（費用にしない）</t>
  </si>
  <si>
    <t xml:space="preserve">国保連からの入金の遅れ</t>
  </si>
  <si>
    <t xml:space="preserve">サービス提供月の翌々月に入金</t>
  </si>
  <si>
    <t xml:space="preserve">■ シナリオ表（利用者の集まり方と工賃）</t>
  </si>
  <si>
    <t xml:space="preserve">慎重</t>
  </si>
  <si>
    <t xml:space="preserve">積極</t>
  </si>
  <si>
    <t xml:space="preserve">使用値（選択中）</t>
  </si>
  <si>
    <r>
      <rPr>
        <sz val="11"/>
        <color theme="1"/>
        <rFont val="WenQuanYi Zen Hei"/>
        <family val="2"/>
      </rPr>
      <t xml:space="preserve">開設月の平均利用者数（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日あたり）</t>
    </r>
  </si>
  <si>
    <r>
      <rPr>
        <sz val="11"/>
        <color theme="1"/>
        <rFont val="WenQuanYi Zen Hei"/>
        <family val="2"/>
      </rPr>
      <t xml:space="preserve">毎月の増加数（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日あたり）</t>
    </r>
  </si>
  <si>
    <t xml:space="preserve">目標稼働率（定員比）</t>
  </si>
  <si>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WenQuanYi Zen Hei"/>
        <family val="2"/>
      </rPr>
      <t xml:space="preserve">年目の平均工賃月額</t>
    </r>
  </si>
  <si>
    <r>
      <rPr>
        <sz val="11"/>
        <color theme="1"/>
        <rFont val="Meiryo UI"/>
        <family val="0"/>
        <charset val="1"/>
      </rPr>
      <t xml:space="preserve">3</t>
    </r>
    <r>
      <rPr>
        <sz val="11"/>
        <color theme="1"/>
        <rFont val="WenQuanYi Zen Hei"/>
        <family val="2"/>
      </rPr>
      <t xml:space="preserve">年目の平均工賃月額</t>
    </r>
  </si>
  <si>
    <r>
      <rPr>
        <b val="true"/>
        <sz val="11"/>
        <rFont val="WenQuanYi Zen Hei"/>
        <family val="2"/>
      </rPr>
      <t xml:space="preserve">■ 基本報酬の区分表（サービス費Ⅰ・</t>
    </r>
    <r>
      <rPr>
        <b val="true"/>
        <sz val="11"/>
        <rFont val="Meiryo UI"/>
        <family val="0"/>
        <charset val="1"/>
      </rPr>
      <t xml:space="preserve">6:1</t>
    </r>
    <r>
      <rPr>
        <b val="true"/>
        <sz val="11"/>
        <rFont val="WenQuanYi Zen Hei"/>
        <family val="2"/>
      </rPr>
      <t xml:space="preserve">・定員</t>
    </r>
    <r>
      <rPr>
        <b val="true"/>
        <sz val="11"/>
        <rFont val="Meiryo UI"/>
        <family val="0"/>
        <charset val="1"/>
      </rPr>
      <t xml:space="preserve">20</t>
    </r>
    <r>
      <rPr>
        <b val="true"/>
        <sz val="11"/>
        <rFont val="WenQuanYi Zen Hei"/>
        <family val="2"/>
      </rPr>
      <t xml:space="preserve">人以下）</t>
    </r>
  </si>
  <si>
    <t xml:space="preserve">区分</t>
  </si>
  <si>
    <t xml:space="preserve">平均工賃月額の下限（円）</t>
  </si>
  <si>
    <r>
      <rPr>
        <b val="true"/>
        <sz val="11"/>
        <color rgb="FFFFFFFF"/>
        <rFont val="WenQuanYi Zen Hei"/>
        <family val="2"/>
      </rPr>
      <t xml:space="preserve">単位</t>
    </r>
    <r>
      <rPr>
        <b val="true"/>
        <sz val="11"/>
        <color rgb="FFFFFFFF"/>
        <rFont val="Meiryo UI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日</t>
    </r>
  </si>
  <si>
    <t xml:space="preserve">メモ</t>
  </si>
  <si>
    <t xml:space="preserve">区分八</t>
  </si>
  <si>
    <r>
      <rPr>
        <sz val="11"/>
        <color theme="1"/>
        <rFont val="WenQuanYi Zen Hei"/>
        <family val="2"/>
      </rPr>
      <t xml:space="preserve">令和</t>
    </r>
    <r>
      <rPr>
        <sz val="11"/>
        <color theme="1"/>
        <rFont val="Meiryo UI"/>
        <family val="0"/>
        <charset val="1"/>
      </rPr>
      <t xml:space="preserve">8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6</t>
    </r>
    <r>
      <rPr>
        <sz val="11"/>
        <color theme="1"/>
        <rFont val="WenQuanYi Zen Hei"/>
        <family val="2"/>
      </rPr>
      <t xml:space="preserve">月以降：区分一〜六の下限を</t>
    </r>
    <r>
      <rPr>
        <sz val="11"/>
        <color theme="1"/>
        <rFont val="Meiryo UI"/>
        <family val="0"/>
        <charset val="1"/>
      </rPr>
      <t xml:space="preserve">3,000</t>
    </r>
    <r>
      <rPr>
        <sz val="11"/>
        <color theme="1"/>
        <rFont val="WenQuanYi Zen Hei"/>
        <family val="2"/>
      </rPr>
      <t xml:space="preserve">円引き上げ済み。中間区分</t>
    </r>
    <r>
      <rPr>
        <sz val="11"/>
        <color theme="1"/>
        <rFont val="Meiryo UI"/>
        <family val="0"/>
        <charset val="1"/>
      </rPr>
      <t xml:space="preserve">A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F</t>
    </r>
    <r>
      <rPr>
        <sz val="11"/>
        <color theme="1"/>
        <rFont val="WenQuanYi Zen Hei"/>
        <family val="2"/>
      </rPr>
      <t xml:space="preserve">は省略（保守的）</t>
    </r>
  </si>
  <si>
    <t xml:space="preserve">区分七</t>
  </si>
  <si>
    <t xml:space="preserve">区分六</t>
  </si>
  <si>
    <t xml:space="preserve">区分五</t>
  </si>
  <si>
    <t xml:space="preserve">区分四</t>
  </si>
  <si>
    <t xml:space="preserve">区分三</t>
  </si>
  <si>
    <t xml:space="preserve">区分二</t>
  </si>
  <si>
    <t xml:space="preserve">区分一</t>
  </si>
  <si>
    <t xml:space="preserve">月次シミュレーション（金額：円）</t>
  </si>
  <si>
    <t xml:space="preserve">月番号</t>
  </si>
  <si>
    <t xml:space="preserve">年月</t>
  </si>
  <si>
    <t xml:space="preserve">年次</t>
  </si>
  <si>
    <r>
      <rPr>
        <b val="true"/>
        <sz val="11"/>
        <color rgb="FFFFFFFF"/>
        <rFont val="WenQuanYi Zen Hei"/>
        <family val="2"/>
      </rPr>
      <t xml:space="preserve">平均利用者数</t>
    </r>
    <r>
      <rPr>
        <b val="true"/>
        <sz val="11"/>
        <color rgb="FFFFFFFF"/>
        <rFont val="Meiryo UI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日</t>
    </r>
  </si>
  <si>
    <t xml:space="preserve">延べ利用（人日）</t>
  </si>
  <si>
    <t xml:space="preserve">平均工賃月額</t>
  </si>
  <si>
    <t xml:space="preserve">基本報酬単位</t>
  </si>
  <si>
    <t xml:space="preserve">基本報酬</t>
  </si>
  <si>
    <t xml:space="preserve">加算</t>
  </si>
  <si>
    <t xml:space="preserve">処遇改善加算</t>
  </si>
  <si>
    <t xml:space="preserve">給付費 合計</t>
  </si>
  <si>
    <t xml:space="preserve">支援員（常勤換算）</t>
  </si>
  <si>
    <t xml:space="preserve">人件費</t>
  </si>
  <si>
    <t xml:space="preserve">処遇改善分の賃金</t>
  </si>
  <si>
    <t xml:space="preserve">家賃・車両・光熱等</t>
  </si>
  <si>
    <t xml:space="preserve">変動費</t>
  </si>
  <si>
    <t xml:space="preserve">本部費</t>
  </si>
  <si>
    <t xml:space="preserve">減価償却</t>
  </si>
  <si>
    <t xml:space="preserve">費用 合計</t>
  </si>
  <si>
    <t xml:space="preserve">営業利益</t>
  </si>
  <si>
    <t xml:space="preserve">累積営業利益</t>
  </si>
  <si>
    <t xml:space="preserve">入金（国保連）</t>
  </si>
  <si>
    <t xml:space="preserve">出金（償却除く）</t>
  </si>
  <si>
    <t xml:space="preserve">月次収支</t>
  </si>
  <si>
    <t xml:space="preserve">資金残高</t>
  </si>
  <si>
    <t xml:space="preserve">黒字月</t>
  </si>
  <si>
    <t xml:space="preserve">回収月</t>
  </si>
  <si>
    <t xml:space="preserve">開設前</t>
  </si>
  <si>
    <t xml:space="preserve">年次サマリー（金額：円）</t>
  </si>
  <si>
    <r>
      <rPr>
        <b val="true"/>
        <sz val="11"/>
        <color rgb="FFFFFFFF"/>
        <rFont val="Meiryo UI"/>
        <family val="0"/>
        <charset val="1"/>
      </rPr>
      <t xml:space="preserve">1</t>
    </r>
    <r>
      <rPr>
        <b val="true"/>
        <sz val="11"/>
        <color rgb="FFFFFFFF"/>
        <rFont val="WenQuanYi Zen Hei"/>
        <family val="2"/>
      </rPr>
      <t xml:space="preserve">年目</t>
    </r>
  </si>
  <si>
    <r>
      <rPr>
        <b val="true"/>
        <sz val="11"/>
        <color rgb="FFFFFFFF"/>
        <rFont val="Meiryo UI"/>
        <family val="0"/>
        <charset val="1"/>
      </rPr>
      <t xml:space="preserve">2</t>
    </r>
    <r>
      <rPr>
        <b val="true"/>
        <sz val="11"/>
        <color rgb="FFFFFFFF"/>
        <rFont val="WenQuanYi Zen Hei"/>
        <family val="2"/>
      </rPr>
      <t xml:space="preserve">年目</t>
    </r>
  </si>
  <si>
    <r>
      <rPr>
        <b val="true"/>
        <sz val="11"/>
        <color rgb="FFFFFFFF"/>
        <rFont val="Meiryo UI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年目</t>
    </r>
  </si>
  <si>
    <r>
      <rPr>
        <b val="true"/>
        <sz val="11"/>
        <color rgb="FFFFFFFF"/>
        <rFont val="Meiryo UI"/>
        <family val="0"/>
        <charset val="1"/>
      </rPr>
      <t xml:space="preserve">3</t>
    </r>
    <r>
      <rPr>
        <b val="true"/>
        <sz val="11"/>
        <color rgb="FFFFFFFF"/>
        <rFont val="WenQuanYi Zen Hei"/>
        <family val="2"/>
      </rPr>
      <t xml:space="preserve">年間 合計</t>
    </r>
  </si>
  <si>
    <r>
      <rPr>
        <sz val="11"/>
        <color theme="1"/>
        <rFont val="WenQuanYi Zen Hei"/>
        <family val="2"/>
      </rPr>
      <t xml:space="preserve">年度末の平均利用者数</t>
    </r>
    <r>
      <rPr>
        <sz val="11"/>
        <color theme="1"/>
        <rFont val="Meiryo UI"/>
        <family val="0"/>
        <charset val="1"/>
      </rPr>
      <t xml:space="preserve">/</t>
    </r>
    <r>
      <rPr>
        <sz val="11"/>
        <color theme="1"/>
        <rFont val="WenQuanYi Zen Hei"/>
        <family val="2"/>
      </rPr>
      <t xml:space="preserve">日</t>
    </r>
  </si>
  <si>
    <t xml:space="preserve">人件費（処遇改善分含む）</t>
  </si>
  <si>
    <t xml:space="preserve">開設準備費</t>
  </si>
  <si>
    <t xml:space="preserve">営業利益率</t>
  </si>
  <si>
    <t xml:space="preserve">年度末の資金残高</t>
  </si>
  <si>
    <t xml:space="preserve">■ 重要指標</t>
  </si>
  <si>
    <t xml:space="preserve">単月黒字になる月（開設から）</t>
  </si>
  <si>
    <t xml:space="preserve">単月黒字になる年月</t>
  </si>
  <si>
    <t xml:space="preserve">初期投資を回収する月（資金残高がプラス）</t>
  </si>
  <si>
    <t xml:space="preserve">資金残高の最低額（必要な運転資金の目安）</t>
  </si>
  <si>
    <t xml:space="preserve">初期投資の合計</t>
  </si>
  <si>
    <t xml:space="preserve">感度分析：安定期の年間営業利益（円）</t>
  </si>
  <si>
    <r>
      <rPr>
        <sz val="11"/>
        <color theme="1"/>
        <rFont val="WenQuanYi Zen Hei"/>
        <family val="2"/>
      </rPr>
      <t xml:space="preserve">行＝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日の平均利用者数、列＝基本報酬の区分（平均工賃月額）。新規特例・加算・人件費などは「前提条件」の値を使用。</t>
    </r>
  </si>
  <si>
    <r>
      <rPr>
        <b val="true"/>
        <sz val="11"/>
        <rFont val="Meiryo UI"/>
        <family val="0"/>
        <charset val="1"/>
      </rPr>
      <t xml:space="preserve">1</t>
    </r>
    <r>
      <rPr>
        <b val="true"/>
        <sz val="11"/>
        <rFont val="WenQuanYi Zen Hei"/>
        <family val="2"/>
      </rPr>
      <t xml:space="preserve">万〜</t>
    </r>
    <r>
      <rPr>
        <b val="true"/>
        <sz val="11"/>
        <rFont val="Meiryo UI"/>
        <family val="0"/>
        <charset val="1"/>
      </rPr>
      <t xml:space="preserve">1.8</t>
    </r>
    <r>
      <rPr>
        <b val="true"/>
        <sz val="11"/>
        <rFont val="WenQuanYi Zen Hei"/>
        <family val="2"/>
      </rPr>
      <t xml:space="preserve">万円</t>
    </r>
  </si>
  <si>
    <r>
      <rPr>
        <b val="true"/>
        <sz val="11"/>
        <rFont val="Meiryo UI"/>
        <family val="0"/>
        <charset val="1"/>
      </rPr>
      <t xml:space="preserve">1.8</t>
    </r>
    <r>
      <rPr>
        <b val="true"/>
        <sz val="11"/>
        <rFont val="WenQuanYi Zen Hei"/>
        <family val="2"/>
      </rPr>
      <t xml:space="preserve">万〜</t>
    </r>
    <r>
      <rPr>
        <b val="true"/>
        <sz val="11"/>
        <rFont val="Meiryo UI"/>
        <family val="0"/>
        <charset val="1"/>
      </rPr>
      <t xml:space="preserve">2.3</t>
    </r>
    <r>
      <rPr>
        <b val="true"/>
        <sz val="11"/>
        <rFont val="WenQuanYi Zen Hei"/>
        <family val="2"/>
      </rPr>
      <t xml:space="preserve">万円</t>
    </r>
  </si>
  <si>
    <r>
      <rPr>
        <b val="true"/>
        <sz val="11"/>
        <rFont val="Meiryo UI"/>
        <family val="0"/>
        <charset val="1"/>
      </rPr>
      <t xml:space="preserve">2.3</t>
    </r>
    <r>
      <rPr>
        <b val="true"/>
        <sz val="11"/>
        <rFont val="WenQuanYi Zen Hei"/>
        <family val="2"/>
      </rPr>
      <t xml:space="preserve">万〜</t>
    </r>
    <r>
      <rPr>
        <b val="true"/>
        <sz val="11"/>
        <rFont val="Meiryo UI"/>
        <family val="0"/>
        <charset val="1"/>
      </rPr>
      <t xml:space="preserve">2.8</t>
    </r>
    <r>
      <rPr>
        <b val="true"/>
        <sz val="11"/>
        <rFont val="WenQuanYi Zen Hei"/>
        <family val="2"/>
      </rPr>
      <t xml:space="preserve">万円</t>
    </r>
  </si>
  <si>
    <r>
      <rPr>
        <b val="true"/>
        <sz val="11"/>
        <rFont val="Meiryo UI"/>
        <family val="0"/>
        <charset val="1"/>
      </rPr>
      <t xml:space="preserve">2.8</t>
    </r>
    <r>
      <rPr>
        <b val="true"/>
        <sz val="11"/>
        <rFont val="WenQuanYi Zen Hei"/>
        <family val="2"/>
      </rPr>
      <t xml:space="preserve">万〜</t>
    </r>
    <r>
      <rPr>
        <b val="true"/>
        <sz val="11"/>
        <rFont val="Meiryo UI"/>
        <family val="0"/>
        <charset val="1"/>
      </rPr>
      <t xml:space="preserve">3.3</t>
    </r>
    <r>
      <rPr>
        <b val="true"/>
        <sz val="11"/>
        <rFont val="WenQuanYi Zen Hei"/>
        <family val="2"/>
      </rPr>
      <t xml:space="preserve">万円</t>
    </r>
  </si>
  <si>
    <r>
      <rPr>
        <b val="true"/>
        <sz val="11"/>
        <rFont val="Meiryo UI"/>
        <family val="0"/>
        <charset val="1"/>
      </rPr>
      <t xml:space="preserve">3.3</t>
    </r>
    <r>
      <rPr>
        <b val="true"/>
        <sz val="11"/>
        <rFont val="WenQuanYi Zen Hei"/>
        <family val="2"/>
      </rPr>
      <t xml:space="preserve">万〜</t>
    </r>
    <r>
      <rPr>
        <b val="true"/>
        <sz val="11"/>
        <rFont val="Meiryo UI"/>
        <family val="0"/>
        <charset val="1"/>
      </rPr>
      <t xml:space="preserve">3.8</t>
    </r>
    <r>
      <rPr>
        <b val="true"/>
        <sz val="11"/>
        <rFont val="WenQuanYi Zen Hei"/>
        <family val="2"/>
      </rPr>
      <t xml:space="preserve">万円</t>
    </r>
  </si>
  <si>
    <r>
      <rPr>
        <b val="true"/>
        <sz val="11"/>
        <color rgb="FFFFFFFF"/>
        <rFont val="WenQuanYi Zen Hei"/>
        <family val="2"/>
      </rPr>
      <t xml:space="preserve">平均利用者数</t>
    </r>
    <r>
      <rPr>
        <b val="true"/>
        <sz val="11"/>
        <color rgb="FFFFFFFF"/>
        <rFont val="Meiryo UI"/>
        <family val="0"/>
        <charset val="1"/>
      </rPr>
      <t xml:space="preserve">/</t>
    </r>
    <r>
      <rPr>
        <b val="true"/>
        <sz val="11"/>
        <color rgb="FFFFFFFF"/>
        <rFont val="WenQuanYi Zen Hei"/>
        <family val="2"/>
      </rPr>
      <t xml:space="preserve">日 ＼ 基本報酬単位</t>
    </r>
  </si>
  <si>
    <t xml:space="preserve">読み方：赤＝赤字、緑＝黒字。処遇改善加算は同額を賃金に充てるため、損益には含めていません。</t>
  </si>
  <si>
    <r>
      <rPr>
        <b val="true"/>
        <sz val="14"/>
        <rFont val="WenQuanYi Zen Hei"/>
        <family val="2"/>
      </rPr>
      <t xml:space="preserve">開設ロードマップ（</t>
    </r>
    <r>
      <rPr>
        <b val="true"/>
        <sz val="14"/>
        <rFont val="Meiryo UI"/>
        <family val="0"/>
        <charset val="1"/>
      </rPr>
      <t xml:space="preserve">2027</t>
    </r>
    <r>
      <rPr>
        <b val="true"/>
        <sz val="14"/>
        <rFont val="WenQuanYi Zen Hei"/>
        <family val="2"/>
      </rPr>
      <t xml:space="preserve">年</t>
    </r>
    <r>
      <rPr>
        <b val="true"/>
        <sz val="14"/>
        <rFont val="Meiryo UI"/>
        <family val="0"/>
        <charset val="1"/>
      </rPr>
      <t xml:space="preserve">4</t>
    </r>
    <r>
      <rPr>
        <b val="true"/>
        <sz val="14"/>
        <rFont val="WenQuanYi Zen Hei"/>
        <family val="2"/>
      </rPr>
      <t xml:space="preserve">月開設の場合）</t>
    </r>
  </si>
  <si>
    <t xml:space="preserve">時期</t>
  </si>
  <si>
    <t xml:space="preserve">やること</t>
  </si>
  <si>
    <t xml:space="preserve">ポイント</t>
  </si>
  <si>
    <t xml:space="preserve">キャレオス内の連携先（クロスボーダー）</t>
  </si>
  <si>
    <r>
      <rPr>
        <sz val="11"/>
        <color theme="1"/>
        <rFont val="Meiryo UI"/>
        <family val="0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10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11</t>
    </r>
    <r>
      <rPr>
        <sz val="11"/>
        <color theme="1"/>
        <rFont val="WenQuanYi Zen Hei"/>
        <family val="2"/>
      </rPr>
      <t xml:space="preserve">月</t>
    </r>
  </si>
  <si>
    <t xml:space="preserve">市場と制度の確認</t>
  </si>
  <si>
    <r>
      <rPr>
        <sz val="11"/>
        <color theme="1"/>
        <rFont val="WenQuanYi Zen Hei"/>
        <family val="2"/>
      </rPr>
      <t xml:space="preserve">西条市・今治市の障がい福祉担当課へ事前相談。障害福祉計画の</t>
    </r>
    <r>
      <rPr>
        <sz val="11"/>
        <color theme="1"/>
        <rFont val="Meiryo UI"/>
        <family val="0"/>
        <charset val="1"/>
      </rPr>
      <t xml:space="preserve">B</t>
    </r>
    <r>
      <rPr>
        <sz val="11"/>
        <color theme="1"/>
        <rFont val="WenQuanYi Zen Hei"/>
        <family val="2"/>
      </rPr>
      <t xml:space="preserve">型の見込量と、総量規制の有無を確認。地域区分・新規指定の算定区分も確認。</t>
    </r>
  </si>
  <si>
    <t xml:space="preserve">第三管理部 事業開発課 地域共創係</t>
  </si>
  <si>
    <r>
      <rPr>
        <sz val="11"/>
        <color theme="1"/>
        <rFont val="Meiryo UI"/>
        <family val="0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11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12</t>
    </r>
    <r>
      <rPr>
        <sz val="11"/>
        <color theme="1"/>
        <rFont val="WenQuanYi Zen Hei"/>
        <family val="2"/>
      </rPr>
      <t xml:space="preserve">月</t>
    </r>
  </si>
  <si>
    <t xml:space="preserve">利用ニーズの把握</t>
  </si>
  <si>
    <t xml:space="preserve">放デイ（日吉・西条）の中高生の人数と卒業時期、保護者アンケート。特別支援学校の進路担当・相談支援事業所へのヒアリング。</t>
  </si>
  <si>
    <t xml:space="preserve">第三管理部 マーケティング課 トータルサポート推進係、相談支援、放デイ各事業所</t>
  </si>
  <si>
    <r>
      <rPr>
        <sz val="11"/>
        <color theme="1"/>
        <rFont val="Meiryo UI"/>
        <family val="0"/>
        <charset val="1"/>
      </rPr>
      <t xml:space="preserve">2026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12</t>
    </r>
    <r>
      <rPr>
        <sz val="11"/>
        <color theme="1"/>
        <rFont val="WenQuanYi Zen Hei"/>
        <family val="2"/>
      </rPr>
      <t xml:space="preserve">月</t>
    </r>
  </si>
  <si>
    <t xml:space="preserve">法人内の事業計画・決裁</t>
  </si>
  <si>
    <t xml:space="preserve">本シミュレーションを実数に置き換え、投資額・回収計画を役員へ提示。</t>
  </si>
  <si>
    <r>
      <rPr>
        <sz val="11"/>
        <color theme="1"/>
        <rFont val="Meiryo UI"/>
        <family val="0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月</t>
    </r>
  </si>
  <si>
    <t xml:space="preserve">物件の確保</t>
  </si>
  <si>
    <t xml:space="preserve">送迎しやすい立地、作業スペース、用途・消防の適合を確認。</t>
  </si>
  <si>
    <r>
      <rPr>
        <sz val="11"/>
        <color theme="1"/>
        <rFont val="Meiryo UI"/>
        <family val="0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WenQuanYi Zen Hei"/>
        <family val="2"/>
      </rPr>
      <t xml:space="preserve">月</t>
    </r>
  </si>
  <si>
    <t xml:space="preserve">生産活動（作業）の開拓</t>
  </si>
  <si>
    <t xml:space="preserve">地域企業の軽作業、農福連携（西条の農業）、飲食・製菓など、平均工賃を上げられる作業を確保。</t>
  </si>
  <si>
    <t xml:space="preserve">第三管理部 事業開発課 地域共創係、ラトリエトゥボナペティ ほか</t>
  </si>
  <si>
    <r>
      <rPr>
        <sz val="11"/>
        <color theme="1"/>
        <rFont val="Meiryo UI"/>
        <family val="0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1</t>
    </r>
    <r>
      <rPr>
        <sz val="11"/>
        <color theme="1"/>
        <rFont val="WenQuanYi Zen Hei"/>
        <family val="2"/>
      </rPr>
      <t xml:space="preserve">〜</t>
    </r>
    <r>
      <rPr>
        <sz val="11"/>
        <color theme="1"/>
        <rFont val="Meiryo UI"/>
        <family val="0"/>
        <charset val="1"/>
      </rPr>
      <t xml:space="preserve">3</t>
    </r>
    <r>
      <rPr>
        <sz val="11"/>
        <color theme="1"/>
        <rFont val="WenQuanYi Zen Hei"/>
        <family val="2"/>
      </rPr>
      <t xml:space="preserve">月</t>
    </r>
  </si>
  <si>
    <t xml:space="preserve">人員の採用と育成</t>
  </si>
  <si>
    <t xml:space="preserve">サービス管理責任者の要件（実務経験・研修）を確認。職業指導員・生活支援員を採用し、既存事業所で研修。</t>
  </si>
  <si>
    <t xml:space="preserve">生活介護、就労系事業所</t>
  </si>
  <si>
    <r>
      <rPr>
        <sz val="11"/>
        <color theme="1"/>
        <rFont val="Meiryo UI"/>
        <family val="0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2</t>
    </r>
    <r>
      <rPr>
        <sz val="11"/>
        <color theme="1"/>
        <rFont val="WenQuanYi Zen Hei"/>
        <family val="2"/>
      </rPr>
      <t xml:space="preserve">月</t>
    </r>
  </si>
  <si>
    <t xml:space="preserve">指定申請</t>
  </si>
  <si>
    <t xml:space="preserve">愛媛県へ指定申請（締切・事前協議の時期を確認）。</t>
  </si>
  <si>
    <r>
      <rPr>
        <sz val="11"/>
        <color theme="1"/>
        <rFont val="Meiryo UI"/>
        <family val="0"/>
        <charset val="1"/>
      </rPr>
      <t xml:space="preserve">2027</t>
    </r>
    <r>
      <rPr>
        <sz val="11"/>
        <color theme="1"/>
        <rFont val="WenQuanYi Zen Hei"/>
        <family val="2"/>
      </rPr>
      <t xml:space="preserve">年</t>
    </r>
    <r>
      <rPr>
        <sz val="11"/>
        <color theme="1"/>
        <rFont val="Meiryo UI"/>
        <family val="0"/>
        <charset val="1"/>
      </rPr>
      <t xml:space="preserve">4</t>
    </r>
    <r>
      <rPr>
        <sz val="11"/>
        <color theme="1"/>
        <rFont val="WenQuanYi Zen Hei"/>
        <family val="2"/>
      </rPr>
      <t xml:space="preserve">月</t>
    </r>
  </si>
  <si>
    <t xml:space="preserve">開設</t>
  </si>
  <si>
    <t xml:space="preserve">放デイ卒業生・特別支援学校卒業生の受け入れ。初年度は利用者の確保と工賃の底上げに集中。</t>
  </si>
  <si>
    <t xml:space="preserve">第三管理部 マーケティング課 トータルサポート推進係（利用者・保護者への周知）</t>
  </si>
  <si>
    <r>
      <rPr>
        <sz val="11"/>
        <color theme="1"/>
        <rFont val="Meiryo UI"/>
        <family val="0"/>
        <charset val="1"/>
      </rPr>
      <t xml:space="preserve">2028</t>
    </r>
    <r>
      <rPr>
        <sz val="11"/>
        <color theme="1"/>
        <rFont val="WenQuanYi Zen Hei"/>
        <family val="2"/>
      </rPr>
      <t xml:space="preserve">年〜</t>
    </r>
  </si>
  <si>
    <t xml:space="preserve">次の展開</t>
  </si>
  <si>
    <t xml:space="preserve">平均工賃の向上で報酬区分を上げる。放課後児童クラブ（委託）や相談支援との連携で、愛媛のトータルサポートの形をつくる。</t>
  </si>
  <si>
    <t xml:space="preserve">四国支社構想へ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</si>
</sst>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yyyy\年m\月"/>
    <numFmt numFmtId="166" formatCode="#,##0"/>
    <numFmt numFmtId="167" formatCode="0.000"/>
    <numFmt numFmtId="168" formatCode="0.0%"/>
    <numFmt numFmtId="169" formatCode="0.0;\(0.0\);\-"/>
    <numFmt numFmtId="170" formatCode="0%"/>
    <numFmt numFmtId="171" formatCode="0"/>
    <numFmt numFmtId="172" formatCode="#,##0;\(#,##0\);\-"/>
    <numFmt numFmtId="173" formatCode="0.0%;\(0.0%\);\-"/>
    <numFmt numFmtId="174" formatCode="#,##0&quot;単位&quot;"/>
    <numFmt numFmtId="175" formatCode="0\人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WenQuanYi Zen Hei"/>
      <family val="2"/>
    </font>
    <font>
      <b val="true"/>
      <sz val="14"/>
      <name val="Meiryo UI"/>
      <family val="0"/>
      <charset val="1"/>
    </font>
    <font>
      <sz val="11"/>
      <color theme="1"/>
      <name val="WenQuanYi Zen Hei"/>
      <family val="2"/>
    </font>
    <font>
      <sz val="11"/>
      <color theme="1"/>
      <name val="Meiryo UI"/>
      <family val="0"/>
      <charset val="1"/>
    </font>
    <font>
      <b val="true"/>
      <sz val="11"/>
      <name val="WenQuanYi Zen Hei"/>
      <family val="2"/>
    </font>
    <font>
      <sz val="11"/>
      <color rgb="FF0000FF"/>
      <name val="WenQuanYi Zen Hei"/>
      <family val="2"/>
    </font>
    <font>
      <b val="true"/>
      <sz val="11"/>
      <color rgb="FFFFFFFF"/>
      <name val="WenQuanYi Zen Hei"/>
      <family val="2"/>
    </font>
    <font>
      <sz val="11"/>
      <color rgb="FF0000FF"/>
      <name val="Meiryo UI"/>
      <family val="0"/>
      <charset val="1"/>
    </font>
    <font>
      <b val="true"/>
      <sz val="11"/>
      <name val="Meiryo UI"/>
      <family val="0"/>
      <charset val="1"/>
    </font>
    <font>
      <b val="true"/>
      <sz val="11"/>
      <color rgb="FFFFFFFF"/>
      <name val="Meiryo UI"/>
      <family val="0"/>
      <charset val="1"/>
    </font>
    <font>
      <sz val="11"/>
      <color rgb="FF008000"/>
      <name val="WenQuanYi Zen Hei"/>
      <family val="2"/>
    </font>
    <font>
      <b val="true"/>
      <sz val="11"/>
      <color rgb="FF4A6FC7"/>
      <name val="Meiryo UI"/>
      <family val="0"/>
      <charset val="1"/>
    </font>
    <font>
      <b val="true"/>
      <sz val="11"/>
      <color rgb="FF0000FF"/>
      <name val="Meiryo U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4A6FC7"/>
        <bgColor rgb="FF3366FF"/>
      </patternFill>
    </fill>
    <fill>
      <patternFill patternType="solid">
        <fgColor rgb="FFEEF1FB"/>
        <bgColor rgb="FFE6F4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AE3"/>
      </left>
      <right style="thin">
        <color rgb="FFD5DAE3"/>
      </right>
      <top style="thin">
        <color rgb="FFD5DAE3"/>
      </top>
      <bottom style="thin">
        <color rgb="FFD5DA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6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5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Meiryo UI"/>
        <charset val="1"/>
        <family val="0"/>
        <color rgb="FFC00000"/>
      </font>
    </dxf>
    <dxf>
      <font>
        <name val="Meiryo UI"/>
        <charset val="1"/>
        <family val="0"/>
        <color rgb="FFC00000"/>
      </font>
      <fill>
        <patternFill>
          <bgColor rgb="FFFDE8EA"/>
        </patternFill>
      </fill>
    </dxf>
    <dxf>
      <fill>
        <patternFill>
          <bgColor rgb="FFE6F4EA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8EA"/>
      <rgbColor rgb="FFE6F4EA"/>
      <rgbColor rgb="FF660066"/>
      <rgbColor rgb="FFFF8080"/>
      <rgbColor rgb="FF0066CC"/>
      <rgbColor rgb="FFD5DA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B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6FC7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</cols>
  <sheetData>
    <row r="1" customFormat="false" ht="19.4" hidden="false" customHeight="false" outlineLevel="0" collapsed="false">
      <c r="A1" s="1" t="s">
        <v>0</v>
      </c>
    </row>
    <row r="2" customFormat="false" ht="28.3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 t="s">
        <v>6</v>
      </c>
    </row>
    <row r="9" customFormat="false" ht="15" hidden="false" customHeight="false" outlineLevel="0" collapsed="false">
      <c r="A9" s="2" t="s">
        <v>7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28.35" hidden="false" customHeight="false" outlineLevel="0" collapsed="false">
      <c r="A16" s="2" t="s">
        <v>12</v>
      </c>
    </row>
    <row r="17" customFormat="false" ht="28.3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 t="s">
        <v>16</v>
      </c>
    </row>
    <row r="21" customFormat="false" ht="15" hidden="false" customHeight="false" outlineLevel="0" collapsed="false">
      <c r="A21" s="2" t="s">
        <v>17</v>
      </c>
    </row>
    <row r="22" customFormat="false" ht="15" hidden="false" customHeight="false" outlineLevel="0" collapsed="false">
      <c r="A22" s="2"/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62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5" t="s">
        <v>21</v>
      </c>
      <c r="B1" s="6"/>
      <c r="C1" s="6"/>
      <c r="D1" s="6"/>
      <c r="E1" s="6"/>
    </row>
    <row r="2" customFormat="false" ht="15" hidden="false" customHeight="false" outlineLevel="0" collapsed="false">
      <c r="A2" s="7" t="s">
        <v>22</v>
      </c>
      <c r="B2" s="7"/>
      <c r="C2" s="7"/>
      <c r="D2" s="7"/>
      <c r="E2" s="7"/>
    </row>
    <row r="3" customFormat="false" ht="15" hidden="false" customHeight="false" outlineLevel="0" collapsed="false">
      <c r="A3" s="8" t="s">
        <v>23</v>
      </c>
      <c r="B3" s="8" t="s">
        <v>24</v>
      </c>
      <c r="C3" s="8" t="s">
        <v>25</v>
      </c>
      <c r="D3" s="8" t="s">
        <v>26</v>
      </c>
      <c r="E3" s="7"/>
    </row>
    <row r="4" customFormat="false" ht="15" hidden="false" customHeight="false" outlineLevel="0" collapsed="false">
      <c r="A4" s="9" t="s">
        <v>27</v>
      </c>
      <c r="B4" s="10"/>
      <c r="C4" s="10"/>
      <c r="D4" s="10"/>
      <c r="E4" s="7"/>
    </row>
    <row r="5" customFormat="false" ht="15" hidden="false" customHeight="false" outlineLevel="0" collapsed="false">
      <c r="A5" s="7" t="s">
        <v>28</v>
      </c>
      <c r="B5" s="11" t="s">
        <v>29</v>
      </c>
      <c r="C5" s="7"/>
      <c r="D5" s="7" t="s">
        <v>30</v>
      </c>
      <c r="E5" s="7"/>
    </row>
    <row r="6" customFormat="false" ht="15" hidden="false" customHeight="false" outlineLevel="0" collapsed="false">
      <c r="A6" s="9" t="s">
        <v>31</v>
      </c>
      <c r="B6" s="10"/>
      <c r="C6" s="10"/>
      <c r="D6" s="10"/>
      <c r="E6" s="7"/>
    </row>
    <row r="7" customFormat="false" ht="15" hidden="false" customHeight="false" outlineLevel="0" collapsed="false">
      <c r="A7" s="7" t="s">
        <v>32</v>
      </c>
      <c r="B7" s="12" t="n">
        <f aca="false">DATE(2027,4,1)</f>
        <v>46478</v>
      </c>
      <c r="C7" s="7"/>
      <c r="D7" s="7" t="s">
        <v>33</v>
      </c>
      <c r="E7" s="7"/>
    </row>
    <row r="8" customFormat="false" ht="15" hidden="false" customHeight="false" outlineLevel="0" collapsed="false">
      <c r="A8" s="7" t="s">
        <v>34</v>
      </c>
      <c r="B8" s="13" t="n">
        <v>20</v>
      </c>
      <c r="C8" s="7" t="s">
        <v>35</v>
      </c>
      <c r="D8" s="7" t="s">
        <v>36</v>
      </c>
      <c r="E8" s="7"/>
    </row>
    <row r="9" customFormat="false" ht="15" hidden="false" customHeight="false" outlineLevel="0" collapsed="false">
      <c r="A9" s="7" t="s">
        <v>37</v>
      </c>
      <c r="B9" s="13" t="n">
        <v>22</v>
      </c>
      <c r="C9" s="7" t="s">
        <v>38</v>
      </c>
      <c r="D9" s="7" t="s">
        <v>39</v>
      </c>
      <c r="E9" s="7"/>
    </row>
    <row r="10" customFormat="false" ht="15" hidden="false" customHeight="false" outlineLevel="0" collapsed="false">
      <c r="A10" s="6" t="s">
        <v>40</v>
      </c>
      <c r="B10" s="13" t="n">
        <v>10</v>
      </c>
      <c r="C10" s="7" t="s">
        <v>41</v>
      </c>
      <c r="D10" s="7" t="s">
        <v>42</v>
      </c>
      <c r="E10" s="7"/>
    </row>
    <row r="11" customFormat="false" ht="15" hidden="false" customHeight="false" outlineLevel="0" collapsed="false">
      <c r="A11" s="9" t="s">
        <v>43</v>
      </c>
      <c r="B11" s="10"/>
      <c r="C11" s="10"/>
      <c r="D11" s="10"/>
      <c r="E11" s="7"/>
    </row>
    <row r="12" customFormat="false" ht="15" hidden="false" customHeight="false" outlineLevel="0" collapsed="false">
      <c r="A12" s="6" t="s">
        <v>44</v>
      </c>
      <c r="B12" s="13" t="n">
        <v>673</v>
      </c>
      <c r="C12" s="7" t="s">
        <v>25</v>
      </c>
      <c r="D12" s="7" t="s">
        <v>45</v>
      </c>
      <c r="E12" s="7"/>
    </row>
    <row r="13" customFormat="false" ht="15" hidden="false" customHeight="false" outlineLevel="0" collapsed="false">
      <c r="A13" s="7" t="s">
        <v>46</v>
      </c>
      <c r="B13" s="14" t="n">
        <v>0.984</v>
      </c>
      <c r="C13" s="7" t="s">
        <v>47</v>
      </c>
      <c r="D13" s="7" t="s">
        <v>48</v>
      </c>
      <c r="E13" s="7"/>
    </row>
    <row r="14" customFormat="false" ht="15" hidden="false" customHeight="false" outlineLevel="0" collapsed="false">
      <c r="A14" s="7" t="s">
        <v>49</v>
      </c>
      <c r="B14" s="13" t="n">
        <v>21</v>
      </c>
      <c r="C14" s="7" t="s">
        <v>25</v>
      </c>
      <c r="D14" s="7" t="s">
        <v>50</v>
      </c>
      <c r="E14" s="7"/>
    </row>
    <row r="15" customFormat="false" ht="15" hidden="false" customHeight="false" outlineLevel="0" collapsed="false">
      <c r="A15" s="7" t="s">
        <v>51</v>
      </c>
      <c r="B15" s="15" t="n">
        <v>0.7</v>
      </c>
      <c r="C15" s="7"/>
      <c r="D15" s="7" t="s">
        <v>52</v>
      </c>
      <c r="E15" s="7"/>
    </row>
    <row r="16" customFormat="false" ht="15" hidden="false" customHeight="false" outlineLevel="0" collapsed="false">
      <c r="A16" s="7" t="s">
        <v>53</v>
      </c>
      <c r="B16" s="13" t="n">
        <v>30</v>
      </c>
      <c r="C16" s="7" t="s">
        <v>25</v>
      </c>
      <c r="D16" s="7" t="s">
        <v>54</v>
      </c>
      <c r="E16" s="7"/>
    </row>
    <row r="17" customFormat="false" ht="15" hidden="false" customHeight="false" outlineLevel="0" collapsed="false">
      <c r="A17" s="7" t="s">
        <v>55</v>
      </c>
      <c r="B17" s="15" t="n">
        <v>0.5</v>
      </c>
      <c r="C17" s="7"/>
      <c r="D17" s="7" t="s">
        <v>56</v>
      </c>
      <c r="E17" s="7"/>
    </row>
    <row r="18" customFormat="false" ht="15" hidden="false" customHeight="false" outlineLevel="0" collapsed="false">
      <c r="A18" s="7" t="s">
        <v>57</v>
      </c>
      <c r="B18" s="13" t="n">
        <v>6</v>
      </c>
      <c r="C18" s="7" t="s">
        <v>25</v>
      </c>
      <c r="D18" s="7" t="s">
        <v>58</v>
      </c>
      <c r="E18" s="7"/>
    </row>
    <row r="19" customFormat="false" ht="15" hidden="false" customHeight="false" outlineLevel="0" collapsed="false">
      <c r="A19" s="7" t="s">
        <v>59</v>
      </c>
      <c r="B19" s="15" t="n">
        <v>0.093</v>
      </c>
      <c r="C19" s="7"/>
      <c r="D19" s="7" t="s">
        <v>60</v>
      </c>
      <c r="E19" s="7"/>
    </row>
    <row r="20" customFormat="false" ht="15" hidden="false" customHeight="false" outlineLevel="0" collapsed="false">
      <c r="A20" s="9" t="s">
        <v>61</v>
      </c>
      <c r="B20" s="10"/>
      <c r="C20" s="10"/>
      <c r="D20" s="10"/>
      <c r="E20" s="7"/>
    </row>
    <row r="21" customFormat="false" ht="15" hidden="false" customHeight="false" outlineLevel="0" collapsed="false">
      <c r="A21" s="7" t="s">
        <v>62</v>
      </c>
      <c r="B21" s="13" t="n">
        <v>320000</v>
      </c>
      <c r="C21" s="7" t="s">
        <v>41</v>
      </c>
      <c r="D21" s="7" t="s">
        <v>63</v>
      </c>
      <c r="E21" s="7"/>
    </row>
    <row r="22" customFormat="false" ht="15" hidden="false" customHeight="false" outlineLevel="0" collapsed="false">
      <c r="A22" s="7" t="s">
        <v>64</v>
      </c>
      <c r="B22" s="13" t="n">
        <v>230000</v>
      </c>
      <c r="C22" s="7" t="s">
        <v>41</v>
      </c>
      <c r="D22" s="7" t="s">
        <v>65</v>
      </c>
      <c r="E22" s="7"/>
    </row>
    <row r="23" customFormat="false" ht="15" hidden="false" customHeight="false" outlineLevel="0" collapsed="false">
      <c r="A23" s="7" t="s">
        <v>66</v>
      </c>
      <c r="B23" s="13" t="n">
        <v>6</v>
      </c>
      <c r="C23" s="7" t="s">
        <v>35</v>
      </c>
      <c r="D23" s="7" t="s">
        <v>67</v>
      </c>
      <c r="E23" s="7"/>
    </row>
    <row r="24" customFormat="false" ht="15" hidden="false" customHeight="false" outlineLevel="0" collapsed="false">
      <c r="A24" s="7" t="s">
        <v>68</v>
      </c>
      <c r="B24" s="13" t="n">
        <v>2</v>
      </c>
      <c r="C24" s="7" t="s">
        <v>35</v>
      </c>
      <c r="D24" s="7" t="s">
        <v>69</v>
      </c>
      <c r="E24" s="7"/>
    </row>
    <row r="25" customFormat="false" ht="15" hidden="false" customHeight="false" outlineLevel="0" collapsed="false">
      <c r="A25" s="7" t="s">
        <v>70</v>
      </c>
      <c r="B25" s="13" t="n">
        <v>2</v>
      </c>
      <c r="C25" s="7" t="s">
        <v>71</v>
      </c>
      <c r="D25" s="7" t="s">
        <v>72</v>
      </c>
      <c r="E25" s="7"/>
    </row>
    <row r="26" customFormat="false" ht="15" hidden="false" customHeight="false" outlineLevel="0" collapsed="false">
      <c r="A26" s="7" t="s">
        <v>73</v>
      </c>
      <c r="B26" s="15" t="n">
        <v>0.15</v>
      </c>
      <c r="C26" s="7"/>
      <c r="D26" s="7" t="s">
        <v>74</v>
      </c>
      <c r="E26" s="7"/>
    </row>
    <row r="27" customFormat="false" ht="15" hidden="false" customHeight="false" outlineLevel="0" collapsed="false">
      <c r="A27" s="7" t="s">
        <v>75</v>
      </c>
      <c r="B27" s="13" t="n">
        <v>80000</v>
      </c>
      <c r="C27" s="7" t="s">
        <v>41</v>
      </c>
      <c r="D27" s="7" t="s">
        <v>76</v>
      </c>
      <c r="E27" s="7"/>
    </row>
    <row r="28" customFormat="false" ht="15" hidden="false" customHeight="false" outlineLevel="0" collapsed="false">
      <c r="A28" s="9" t="s">
        <v>77</v>
      </c>
      <c r="B28" s="10"/>
      <c r="C28" s="10"/>
      <c r="D28" s="10"/>
      <c r="E28" s="7"/>
    </row>
    <row r="29" customFormat="false" ht="15" hidden="false" customHeight="false" outlineLevel="0" collapsed="false">
      <c r="A29" s="7" t="s">
        <v>78</v>
      </c>
      <c r="B29" s="13" t="n">
        <v>120000</v>
      </c>
      <c r="C29" s="7" t="s">
        <v>41</v>
      </c>
      <c r="D29" s="7" t="s">
        <v>79</v>
      </c>
      <c r="E29" s="7"/>
    </row>
    <row r="30" customFormat="false" ht="15" hidden="false" customHeight="false" outlineLevel="0" collapsed="false">
      <c r="A30" s="7" t="s">
        <v>80</v>
      </c>
      <c r="B30" s="13" t="n">
        <v>70000</v>
      </c>
      <c r="C30" s="7" t="s">
        <v>41</v>
      </c>
      <c r="D30" s="7" t="s">
        <v>81</v>
      </c>
      <c r="E30" s="7"/>
    </row>
    <row r="31" customFormat="false" ht="15" hidden="false" customHeight="false" outlineLevel="0" collapsed="false">
      <c r="A31" s="7" t="s">
        <v>82</v>
      </c>
      <c r="B31" s="13" t="n">
        <v>70000</v>
      </c>
      <c r="C31" s="7" t="s">
        <v>41</v>
      </c>
      <c r="D31" s="7" t="s">
        <v>83</v>
      </c>
      <c r="E31" s="7"/>
    </row>
    <row r="32" customFormat="false" ht="15" hidden="false" customHeight="false" outlineLevel="0" collapsed="false">
      <c r="A32" s="7" t="s">
        <v>84</v>
      </c>
      <c r="B32" s="13" t="n">
        <v>50000</v>
      </c>
      <c r="C32" s="7" t="s">
        <v>41</v>
      </c>
      <c r="D32" s="7"/>
      <c r="E32" s="7"/>
    </row>
    <row r="33" customFormat="false" ht="15" hidden="false" customHeight="false" outlineLevel="0" collapsed="false">
      <c r="A33" s="7" t="s">
        <v>85</v>
      </c>
      <c r="B33" s="13" t="n">
        <v>200</v>
      </c>
      <c r="C33" s="7" t="s">
        <v>41</v>
      </c>
      <c r="D33" s="7" t="s">
        <v>86</v>
      </c>
      <c r="E33" s="7"/>
    </row>
    <row r="34" customFormat="false" ht="15" hidden="false" customHeight="false" outlineLevel="0" collapsed="false">
      <c r="A34" s="7" t="s">
        <v>87</v>
      </c>
      <c r="B34" s="15" t="n">
        <v>0.03</v>
      </c>
      <c r="C34" s="7"/>
      <c r="D34" s="7" t="s">
        <v>88</v>
      </c>
      <c r="E34" s="7"/>
    </row>
    <row r="35" customFormat="false" ht="15" hidden="false" customHeight="false" outlineLevel="0" collapsed="false">
      <c r="A35" s="9" t="s">
        <v>89</v>
      </c>
      <c r="B35" s="10"/>
      <c r="C35" s="10"/>
      <c r="D35" s="10"/>
      <c r="E35" s="7"/>
    </row>
    <row r="36" customFormat="false" ht="15" hidden="false" customHeight="false" outlineLevel="0" collapsed="false">
      <c r="A36" s="7" t="s">
        <v>90</v>
      </c>
      <c r="B36" s="13" t="n">
        <v>5000000</v>
      </c>
      <c r="C36" s="7" t="s">
        <v>41</v>
      </c>
      <c r="D36" s="6" t="s">
        <v>91</v>
      </c>
      <c r="E36" s="7"/>
    </row>
    <row r="37" customFormat="false" ht="15" hidden="false" customHeight="false" outlineLevel="0" collapsed="false">
      <c r="A37" s="7" t="s">
        <v>92</v>
      </c>
      <c r="B37" s="13" t="n">
        <v>1500000</v>
      </c>
      <c r="C37" s="7" t="s">
        <v>41</v>
      </c>
      <c r="D37" s="6" t="s">
        <v>93</v>
      </c>
      <c r="E37" s="7"/>
    </row>
    <row r="38" customFormat="false" ht="15" hidden="false" customHeight="false" outlineLevel="0" collapsed="false">
      <c r="A38" s="7" t="s">
        <v>94</v>
      </c>
      <c r="B38" s="13" t="n">
        <v>2000000</v>
      </c>
      <c r="C38" s="7" t="s">
        <v>41</v>
      </c>
      <c r="D38" s="7" t="s">
        <v>95</v>
      </c>
      <c r="E38" s="7"/>
    </row>
    <row r="39" customFormat="false" ht="15" hidden="false" customHeight="false" outlineLevel="0" collapsed="false">
      <c r="A39" s="7" t="s">
        <v>96</v>
      </c>
      <c r="B39" s="13" t="n">
        <v>500000</v>
      </c>
      <c r="C39" s="7" t="s">
        <v>41</v>
      </c>
      <c r="D39" s="7" t="s">
        <v>97</v>
      </c>
      <c r="E39" s="7"/>
    </row>
    <row r="40" customFormat="false" ht="15" hidden="false" customHeight="false" outlineLevel="0" collapsed="false">
      <c r="A40" s="7" t="s">
        <v>98</v>
      </c>
      <c r="B40" s="13" t="n">
        <v>2</v>
      </c>
      <c r="C40" s="7" t="s">
        <v>71</v>
      </c>
      <c r="D40" s="7" t="s">
        <v>99</v>
      </c>
      <c r="E40" s="7"/>
    </row>
    <row r="41" customFormat="false" ht="15" hidden="false" customHeight="false" outlineLevel="0" collapsed="false">
      <c r="A41" s="7"/>
      <c r="B41" s="7"/>
      <c r="C41" s="7"/>
      <c r="D41" s="7"/>
      <c r="E41" s="7"/>
    </row>
    <row r="42" customFormat="false" ht="15" hidden="false" customHeight="false" outlineLevel="0" collapsed="false">
      <c r="A42" s="16" t="s">
        <v>100</v>
      </c>
      <c r="B42" s="7"/>
      <c r="C42" s="7"/>
      <c r="D42" s="7"/>
      <c r="E42" s="7"/>
    </row>
    <row r="43" customFormat="false" ht="15" hidden="false" customHeight="false" outlineLevel="0" collapsed="false">
      <c r="A43" s="8" t="s">
        <v>23</v>
      </c>
      <c r="B43" s="8" t="s">
        <v>101</v>
      </c>
      <c r="C43" s="8" t="s">
        <v>29</v>
      </c>
      <c r="D43" s="8" t="s">
        <v>102</v>
      </c>
      <c r="E43" s="8" t="s">
        <v>103</v>
      </c>
    </row>
    <row r="44" customFormat="false" ht="15" hidden="false" customHeight="false" outlineLevel="0" collapsed="false">
      <c r="A44" s="7" t="s">
        <v>104</v>
      </c>
      <c r="B44" s="17" t="n">
        <v>3</v>
      </c>
      <c r="C44" s="17" t="n">
        <v>5</v>
      </c>
      <c r="D44" s="17" t="n">
        <v>7</v>
      </c>
      <c r="E44" s="18" t="n">
        <f aca="false">INDEX(B44:D44,MATCH(前提条件!$B$5,$B$43:$D$43,0))</f>
        <v>5</v>
      </c>
    </row>
    <row r="45" customFormat="false" ht="15" hidden="false" customHeight="false" outlineLevel="0" collapsed="false">
      <c r="A45" s="7" t="s">
        <v>105</v>
      </c>
      <c r="B45" s="17" t="n">
        <v>0.8</v>
      </c>
      <c r="C45" s="17" t="n">
        <v>1.2</v>
      </c>
      <c r="D45" s="17" t="n">
        <v>1.8</v>
      </c>
      <c r="E45" s="18" t="n">
        <f aca="false">INDEX(B45:D45,MATCH(前提条件!$B$5,$B$43:$D$43,0))</f>
        <v>1.2</v>
      </c>
    </row>
    <row r="46" customFormat="false" ht="15" hidden="false" customHeight="false" outlineLevel="0" collapsed="false">
      <c r="A46" s="7" t="s">
        <v>106</v>
      </c>
      <c r="B46" s="19" t="n">
        <v>0.8</v>
      </c>
      <c r="C46" s="19" t="n">
        <v>0.9</v>
      </c>
      <c r="D46" s="19" t="n">
        <v>1</v>
      </c>
      <c r="E46" s="20" t="n">
        <f aca="false">INDEX(B46:D46,MATCH(前提条件!$B$5,$B$43:$D$43,0))</f>
        <v>0.9</v>
      </c>
    </row>
    <row r="47" customFormat="false" ht="15" hidden="false" customHeight="false" outlineLevel="0" collapsed="false">
      <c r="A47" s="6" t="s">
        <v>107</v>
      </c>
      <c r="B47" s="13" t="n">
        <v>13000</v>
      </c>
      <c r="C47" s="13" t="n">
        <v>16000</v>
      </c>
      <c r="D47" s="13" t="n">
        <v>19000</v>
      </c>
      <c r="E47" s="21" t="n">
        <f aca="false">INDEX(B47:D47,MATCH(前提条件!$B$5,$B$43:$D$43,0))</f>
        <v>16000</v>
      </c>
    </row>
    <row r="48" customFormat="false" ht="15" hidden="false" customHeight="false" outlineLevel="0" collapsed="false">
      <c r="A48" s="6" t="s">
        <v>108</v>
      </c>
      <c r="B48" s="13" t="n">
        <v>16000</v>
      </c>
      <c r="C48" s="13" t="n">
        <v>19000</v>
      </c>
      <c r="D48" s="13" t="n">
        <v>24000</v>
      </c>
      <c r="E48" s="21" t="n">
        <f aca="false">INDEX(B48:D48,MATCH(前提条件!$B$5,$B$43:$D$43,0))</f>
        <v>19000</v>
      </c>
    </row>
    <row r="49" customFormat="false" ht="15" hidden="false" customHeight="false" outlineLevel="0" collapsed="false">
      <c r="A49" s="7"/>
      <c r="B49" s="7"/>
      <c r="C49" s="7"/>
      <c r="D49" s="7"/>
      <c r="E49" s="7"/>
    </row>
    <row r="50" customFormat="false" ht="15" hidden="false" customHeight="false" outlineLevel="0" collapsed="false">
      <c r="A50" s="16" t="s">
        <v>109</v>
      </c>
      <c r="B50" s="7"/>
      <c r="C50" s="7"/>
      <c r="D50" s="7"/>
      <c r="E50" s="7"/>
    </row>
    <row r="51" customFormat="false" ht="28.35" hidden="false" customHeight="false" outlineLevel="0" collapsed="false">
      <c r="A51" s="8" t="s">
        <v>110</v>
      </c>
      <c r="B51" s="8" t="s">
        <v>111</v>
      </c>
      <c r="C51" s="8" t="s">
        <v>112</v>
      </c>
      <c r="D51" s="8" t="s">
        <v>113</v>
      </c>
      <c r="E51" s="7"/>
    </row>
    <row r="52" customFormat="false" ht="15" hidden="false" customHeight="false" outlineLevel="0" collapsed="false">
      <c r="A52" s="7" t="s">
        <v>114</v>
      </c>
      <c r="B52" s="13" t="n">
        <v>0</v>
      </c>
      <c r="C52" s="13" t="n">
        <v>590</v>
      </c>
      <c r="D52" s="7" t="s">
        <v>115</v>
      </c>
      <c r="E52" s="7"/>
    </row>
    <row r="53" customFormat="false" ht="15" hidden="false" customHeight="false" outlineLevel="0" collapsed="false">
      <c r="A53" s="7" t="s">
        <v>116</v>
      </c>
      <c r="B53" s="13" t="n">
        <v>10000</v>
      </c>
      <c r="C53" s="13" t="n">
        <v>673</v>
      </c>
      <c r="D53" s="7"/>
      <c r="E53" s="7"/>
    </row>
    <row r="54" customFormat="false" ht="15" hidden="false" customHeight="false" outlineLevel="0" collapsed="false">
      <c r="A54" s="7" t="s">
        <v>117</v>
      </c>
      <c r="B54" s="13" t="n">
        <v>18000</v>
      </c>
      <c r="C54" s="13" t="n">
        <v>703</v>
      </c>
      <c r="D54" s="7"/>
      <c r="E54" s="7"/>
    </row>
    <row r="55" customFormat="false" ht="15" hidden="false" customHeight="false" outlineLevel="0" collapsed="false">
      <c r="A55" s="7" t="s">
        <v>118</v>
      </c>
      <c r="B55" s="13" t="n">
        <v>23000</v>
      </c>
      <c r="C55" s="13" t="n">
        <v>726</v>
      </c>
      <c r="D55" s="7"/>
      <c r="E55" s="7"/>
    </row>
    <row r="56" customFormat="false" ht="15" hidden="false" customHeight="false" outlineLevel="0" collapsed="false">
      <c r="A56" s="7" t="s">
        <v>119</v>
      </c>
      <c r="B56" s="13" t="n">
        <v>28000</v>
      </c>
      <c r="C56" s="13" t="n">
        <v>738</v>
      </c>
      <c r="D56" s="7"/>
      <c r="E56" s="7"/>
    </row>
    <row r="57" customFormat="false" ht="15" hidden="false" customHeight="false" outlineLevel="0" collapsed="false">
      <c r="A57" s="7" t="s">
        <v>120</v>
      </c>
      <c r="B57" s="13" t="n">
        <v>33000</v>
      </c>
      <c r="C57" s="13" t="n">
        <v>758</v>
      </c>
      <c r="D57" s="7"/>
      <c r="E57" s="7"/>
    </row>
    <row r="58" customFormat="false" ht="15" hidden="false" customHeight="false" outlineLevel="0" collapsed="false">
      <c r="A58" s="7" t="s">
        <v>121</v>
      </c>
      <c r="B58" s="13" t="n">
        <v>38000</v>
      </c>
      <c r="C58" s="13" t="n">
        <v>805</v>
      </c>
      <c r="D58" s="7"/>
      <c r="E58" s="7"/>
    </row>
    <row r="59" customFormat="false" ht="15" hidden="false" customHeight="false" outlineLevel="0" collapsed="false">
      <c r="A59" s="7" t="s">
        <v>122</v>
      </c>
      <c r="B59" s="13" t="n">
        <v>48000</v>
      </c>
      <c r="C59" s="13" t="n">
        <v>837</v>
      </c>
      <c r="D59" s="7"/>
      <c r="E59" s="7"/>
    </row>
  </sheetData>
  <dataValidations count="1">
    <dataValidation allowBlank="false" errorStyle="stop" operator="between" showDropDown="false" showErrorMessage="false" showInputMessage="false" sqref="B5" type="list">
      <formula1>"慎重,標準,積極"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1"/>
    <col collapsed="false" customWidth="true" hidden="false" outlineLevel="0" max="27" min="3" style="0" width="13"/>
  </cols>
  <sheetData>
    <row r="1" customFormat="false" ht="17.35" hidden="false" customHeight="false" outlineLevel="0" collapsed="false">
      <c r="A1" s="5" t="s">
        <v>123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</row>
    <row r="2" customFormat="false" ht="15" hidden="false" customHeight="false" outlineLevel="0" collapsed="false">
      <c r="A2" s="22" t="str">
        <f aca="false">CONCATENATE("シナリオ：",前提条件!$B$5)</f>
        <v>シナリオ：標準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</row>
    <row r="4" customFormat="false" ht="33.75" hidden="false" customHeight="true" outlineLevel="0" collapsed="false">
      <c r="A4" s="8" t="s">
        <v>124</v>
      </c>
      <c r="B4" s="8" t="s">
        <v>125</v>
      </c>
      <c r="C4" s="8" t="s">
        <v>126</v>
      </c>
      <c r="D4" s="8" t="s">
        <v>127</v>
      </c>
      <c r="E4" s="8" t="s">
        <v>128</v>
      </c>
      <c r="F4" s="8" t="s">
        <v>129</v>
      </c>
      <c r="G4" s="8" t="s">
        <v>130</v>
      </c>
      <c r="H4" s="8" t="s">
        <v>131</v>
      </c>
      <c r="I4" s="8" t="s">
        <v>132</v>
      </c>
      <c r="J4" s="8" t="s">
        <v>133</v>
      </c>
      <c r="K4" s="8" t="s">
        <v>134</v>
      </c>
      <c r="L4" s="8" t="s">
        <v>135</v>
      </c>
      <c r="M4" s="8" t="s">
        <v>136</v>
      </c>
      <c r="N4" s="8" t="s">
        <v>137</v>
      </c>
      <c r="O4" s="8" t="s">
        <v>138</v>
      </c>
      <c r="P4" s="8" t="s">
        <v>139</v>
      </c>
      <c r="Q4" s="8" t="s">
        <v>140</v>
      </c>
      <c r="R4" s="8" t="s">
        <v>141</v>
      </c>
      <c r="S4" s="8" t="s">
        <v>142</v>
      </c>
      <c r="T4" s="8" t="s">
        <v>143</v>
      </c>
      <c r="U4" s="8" t="s">
        <v>144</v>
      </c>
      <c r="V4" s="8" t="s">
        <v>145</v>
      </c>
      <c r="W4" s="8" t="s">
        <v>146</v>
      </c>
      <c r="X4" s="8" t="s">
        <v>147</v>
      </c>
      <c r="Y4" s="8" t="s">
        <v>148</v>
      </c>
      <c r="Z4" s="8" t="s">
        <v>149</v>
      </c>
      <c r="AA4" s="8" t="s">
        <v>150</v>
      </c>
    </row>
    <row r="5" customFormat="false" ht="15" hidden="false" customHeight="false" outlineLevel="0" collapsed="false">
      <c r="A5" s="23" t="n">
        <v>0</v>
      </c>
      <c r="B5" s="24" t="s">
        <v>151</v>
      </c>
      <c r="C5" s="23" t="n">
        <v>0</v>
      </c>
      <c r="D5" s="18" t="n">
        <v>0</v>
      </c>
      <c r="E5" s="25" t="n">
        <v>0</v>
      </c>
      <c r="F5" s="25" t="n">
        <v>0</v>
      </c>
      <c r="G5" s="25" t="n">
        <v>0</v>
      </c>
      <c r="H5" s="25" t="n">
        <v>0</v>
      </c>
      <c r="I5" s="25" t="n">
        <v>0</v>
      </c>
      <c r="J5" s="25" t="n">
        <v>0</v>
      </c>
      <c r="K5" s="25" t="n">
        <v>0</v>
      </c>
      <c r="L5" s="18" t="n">
        <v>0</v>
      </c>
      <c r="M5" s="25" t="n">
        <v>0</v>
      </c>
      <c r="N5" s="25" t="n">
        <v>0</v>
      </c>
      <c r="O5" s="25" t="n">
        <v>0</v>
      </c>
      <c r="P5" s="25" t="n">
        <v>0</v>
      </c>
      <c r="Q5" s="25" t="n">
        <v>0</v>
      </c>
      <c r="R5" s="25" t="n">
        <v>0</v>
      </c>
      <c r="S5" s="25" t="n">
        <f aca="false">前提条件!$B$38</f>
        <v>2000000</v>
      </c>
      <c r="T5" s="25" t="n">
        <f aca="false">-S5</f>
        <v>-2000000</v>
      </c>
      <c r="U5" s="25" t="n">
        <f aca="false">T5</f>
        <v>-2000000</v>
      </c>
      <c r="V5" s="25" t="n">
        <v>0</v>
      </c>
      <c r="W5" s="25" t="n">
        <f aca="false">前提条件!$B$38+前提条件!$B$36+前提条件!$B$37+前提条件!$B$39</f>
        <v>9000000</v>
      </c>
      <c r="X5" s="25" t="n">
        <f aca="false">-W5</f>
        <v>-9000000</v>
      </c>
      <c r="Y5" s="25" t="n">
        <f aca="false">X5</f>
        <v>-9000000</v>
      </c>
      <c r="Z5" s="23" t="n">
        <v>0</v>
      </c>
      <c r="AA5" s="23" t="n">
        <v>0</v>
      </c>
    </row>
    <row r="6" customFormat="false" ht="15" hidden="false" customHeight="false" outlineLevel="0" collapsed="false">
      <c r="A6" s="23" t="n">
        <v>1</v>
      </c>
      <c r="B6" s="26" t="n">
        <f aca="false">EDATE(前提条件!$B$7,A6-1)</f>
        <v>46478</v>
      </c>
      <c r="C6" s="23" t="n">
        <f aca="false">INT((A6-1)/12)+1</f>
        <v>1</v>
      </c>
      <c r="D6" s="18" t="n">
        <f aca="false">MIN(前提条件!$B$8*前提条件!$E$46,前提条件!$E$44+(A6-1)*前提条件!$E$45)</f>
        <v>5</v>
      </c>
      <c r="E6" s="25" t="n">
        <f aca="false">D6*前提条件!$B$9</f>
        <v>110</v>
      </c>
      <c r="F6" s="25" t="str">
        <f aca="false">IF(C6=1,"初年度",IF(C6=2,前提条件!$E$47,前提条件!$E$48))</f>
        <v>初年度</v>
      </c>
      <c r="G6" s="25" t="n">
        <f aca="false">IF(C6=1,前提条件!$B$12,INDEX(前提条件!$C$52:$C$59,MATCH(F6,前提条件!$B$52:$B$59,1)))</f>
        <v>673</v>
      </c>
      <c r="H6" s="25" t="n">
        <f aca="false">E6*G6*前提条件!$B$13*前提条件!$B$10</f>
        <v>728455.2</v>
      </c>
      <c r="I6" s="25" t="n">
        <f aca="false">E6*(前提条件!$B$14*2*前提条件!$B$15+前提条件!$B$16*前提条件!$B$17+前提条件!$B$18)*前提条件!$B$10</f>
        <v>55440</v>
      </c>
      <c r="J6" s="25" t="n">
        <f aca="false">(H6+I6)*前提条件!$B$19</f>
        <v>72902.2536</v>
      </c>
      <c r="K6" s="25" t="n">
        <f aca="false">H6+I6+J6</f>
        <v>856797.4536</v>
      </c>
      <c r="L6" s="18" t="n">
        <f aca="false">MAX(前提条件!$B$24,CEILING(D6/前提条件!$B$23,0.5))</f>
        <v>2</v>
      </c>
      <c r="M6" s="25" t="n">
        <f aca="false">(前提条件!$B$21+L6*前提条件!$B$22)*(12+前提条件!$B$25)/12*(1+前提条件!$B$26)+前提条件!$B$27</f>
        <v>1126500</v>
      </c>
      <c r="N6" s="25" t="n">
        <f aca="false">J6</f>
        <v>72902.2536</v>
      </c>
      <c r="O6" s="25" t="n">
        <f aca="false">前提条件!$B$29+前提条件!$B$30+前提条件!$B$31+前提条件!$B$32</f>
        <v>310000</v>
      </c>
      <c r="P6" s="25" t="n">
        <f aca="false">E6*前提条件!$B$33</f>
        <v>22000</v>
      </c>
      <c r="Q6" s="25" t="n">
        <f aca="false">K6*前提条件!$B$34</f>
        <v>25703.923608</v>
      </c>
      <c r="R6" s="25" t="n">
        <f aca="false">前提条件!$B$36/120+前提条件!$B$37/60</f>
        <v>66666.6666666667</v>
      </c>
      <c r="S6" s="25" t="n">
        <f aca="false">SUM(M6:R6)</f>
        <v>1623772.84387467</v>
      </c>
      <c r="T6" s="25" t="n">
        <f aca="false">K6-S6</f>
        <v>-766975.390274667</v>
      </c>
      <c r="U6" s="25" t="n">
        <f aca="false">U5+T6</f>
        <v>-2766975.39027467</v>
      </c>
      <c r="V6" s="25" t="n">
        <f aca="true">IF(A6&gt;前提条件!$B$40,OFFSET(K6,-前提条件!$B$40,0),0)</f>
        <v>0</v>
      </c>
      <c r="W6" s="25" t="n">
        <f aca="false">S6-R6</f>
        <v>1557106.177208</v>
      </c>
      <c r="X6" s="25" t="n">
        <f aca="false">V6-W6</f>
        <v>-1557106.177208</v>
      </c>
      <c r="Y6" s="25" t="n">
        <f aca="false">Y5+X6</f>
        <v>-10557106.177208</v>
      </c>
      <c r="Z6" s="23" t="n">
        <f aca="false">IF(T6&gt;0,1,0)</f>
        <v>0</v>
      </c>
      <c r="AA6" s="23" t="n">
        <f aca="false">IF(Y6&gt;=0,1,0)</f>
        <v>0</v>
      </c>
    </row>
    <row r="7" customFormat="false" ht="15" hidden="false" customHeight="false" outlineLevel="0" collapsed="false">
      <c r="A7" s="23" t="n">
        <v>2</v>
      </c>
      <c r="B7" s="26" t="n">
        <f aca="false">EDATE(前提条件!$B$7,A7-1)</f>
        <v>46508</v>
      </c>
      <c r="C7" s="23" t="n">
        <f aca="false">INT((A7-1)/12)+1</f>
        <v>1</v>
      </c>
      <c r="D7" s="18" t="n">
        <f aca="false">MIN(前提条件!$B$8*前提条件!$E$46,前提条件!$E$44+(A7-1)*前提条件!$E$45)</f>
        <v>6.2</v>
      </c>
      <c r="E7" s="25" t="n">
        <f aca="false">D7*前提条件!$B$9</f>
        <v>136.4</v>
      </c>
      <c r="F7" s="25" t="str">
        <f aca="false">IF(C7=1,"初年度",IF(C7=2,前提条件!$E$47,前提条件!$E$48))</f>
        <v>初年度</v>
      </c>
      <c r="G7" s="25" t="n">
        <f aca="false">IF(C7=1,前提条件!$B$12,INDEX(前提条件!$C$52:$C$59,MATCH(F7,前提条件!$B$52:$B$59,1)))</f>
        <v>673</v>
      </c>
      <c r="H7" s="25" t="n">
        <f aca="false">E7*G7*前提条件!$B$13*前提条件!$B$10</f>
        <v>903284.448</v>
      </c>
      <c r="I7" s="25" t="n">
        <f aca="false">E7*(前提条件!$B$14*2*前提条件!$B$15+前提条件!$B$16*前提条件!$B$17+前提条件!$B$18)*前提条件!$B$10</f>
        <v>68745.6</v>
      </c>
      <c r="J7" s="25" t="n">
        <f aca="false">(H7+I7)*前提条件!$B$19</f>
        <v>90398.794464</v>
      </c>
      <c r="K7" s="25" t="n">
        <f aca="false">H7+I7+J7</f>
        <v>1062428.842464</v>
      </c>
      <c r="L7" s="18" t="n">
        <f aca="false">MAX(前提条件!$B$24,CEILING(D7/前提条件!$B$23,0.5))</f>
        <v>2</v>
      </c>
      <c r="M7" s="25" t="n">
        <f aca="false">(前提条件!$B$21+L7*前提条件!$B$22)*(12+前提条件!$B$25)/12*(1+前提条件!$B$26)+前提条件!$B$27</f>
        <v>1126500</v>
      </c>
      <c r="N7" s="25" t="n">
        <f aca="false">J7</f>
        <v>90398.794464</v>
      </c>
      <c r="O7" s="25" t="n">
        <f aca="false">前提条件!$B$29+前提条件!$B$30+前提条件!$B$31+前提条件!$B$32</f>
        <v>310000</v>
      </c>
      <c r="P7" s="25" t="n">
        <f aca="false">E7*前提条件!$B$33</f>
        <v>27280</v>
      </c>
      <c r="Q7" s="25" t="n">
        <f aca="false">K7*前提条件!$B$34</f>
        <v>31872.86527392</v>
      </c>
      <c r="R7" s="25" t="n">
        <f aca="false">前提条件!$B$36/120+前提条件!$B$37/60</f>
        <v>66666.6666666667</v>
      </c>
      <c r="S7" s="25" t="n">
        <f aca="false">SUM(M7:R7)</f>
        <v>1652718.32640459</v>
      </c>
      <c r="T7" s="25" t="n">
        <f aca="false">K7-S7</f>
        <v>-590289.483940587</v>
      </c>
      <c r="U7" s="25" t="n">
        <f aca="false">U6+T7</f>
        <v>-3357264.87421525</v>
      </c>
      <c r="V7" s="25" t="n">
        <f aca="true">IF(A7&gt;前提条件!$B$40,OFFSET(K7,-前提条件!$B$40,0),0)</f>
        <v>0</v>
      </c>
      <c r="W7" s="25" t="n">
        <f aca="false">S7-R7</f>
        <v>1586051.65973792</v>
      </c>
      <c r="X7" s="25" t="n">
        <f aca="false">V7-W7</f>
        <v>-1586051.65973792</v>
      </c>
      <c r="Y7" s="25" t="n">
        <f aca="false">Y6+X7</f>
        <v>-12143157.8369459</v>
      </c>
      <c r="Z7" s="23" t="n">
        <f aca="false">IF(T7&gt;0,1,0)</f>
        <v>0</v>
      </c>
      <c r="AA7" s="23" t="n">
        <f aca="false">IF(Y7&gt;=0,1,0)</f>
        <v>0</v>
      </c>
    </row>
    <row r="8" customFormat="false" ht="15" hidden="false" customHeight="false" outlineLevel="0" collapsed="false">
      <c r="A8" s="23" t="n">
        <v>3</v>
      </c>
      <c r="B8" s="26" t="n">
        <f aca="false">EDATE(前提条件!$B$7,A8-1)</f>
        <v>46539</v>
      </c>
      <c r="C8" s="23" t="n">
        <f aca="false">INT((A8-1)/12)+1</f>
        <v>1</v>
      </c>
      <c r="D8" s="18" t="n">
        <f aca="false">MIN(前提条件!$B$8*前提条件!$E$46,前提条件!$E$44+(A8-1)*前提条件!$E$45)</f>
        <v>7.4</v>
      </c>
      <c r="E8" s="25" t="n">
        <f aca="false">D8*前提条件!$B$9</f>
        <v>162.8</v>
      </c>
      <c r="F8" s="25" t="str">
        <f aca="false">IF(C8=1,"初年度",IF(C8=2,前提条件!$E$47,前提条件!$E$48))</f>
        <v>初年度</v>
      </c>
      <c r="G8" s="25" t="n">
        <f aca="false">IF(C8=1,前提条件!$B$12,INDEX(前提条件!$C$52:$C$59,MATCH(F8,前提条件!$B$52:$B$59,1)))</f>
        <v>673</v>
      </c>
      <c r="H8" s="25" t="n">
        <f aca="false">E8*G8*前提条件!$B$13*前提条件!$B$10</f>
        <v>1078113.696</v>
      </c>
      <c r="I8" s="25" t="n">
        <f aca="false">E8*(前提条件!$B$14*2*前提条件!$B$15+前提条件!$B$16*前提条件!$B$17+前提条件!$B$18)*前提条件!$B$10</f>
        <v>82051.2</v>
      </c>
      <c r="J8" s="25" t="n">
        <f aca="false">(H8+I8)*前提条件!$B$19</f>
        <v>107895.335328</v>
      </c>
      <c r="K8" s="25" t="n">
        <f aca="false">H8+I8+J8</f>
        <v>1268060.231328</v>
      </c>
      <c r="L8" s="18" t="n">
        <f aca="false">MAX(前提条件!$B$24,CEILING(D8/前提条件!$B$23,0.5))</f>
        <v>2</v>
      </c>
      <c r="M8" s="25" t="n">
        <f aca="false">(前提条件!$B$21+L8*前提条件!$B$22)*(12+前提条件!$B$25)/12*(1+前提条件!$B$26)+前提条件!$B$27</f>
        <v>1126500</v>
      </c>
      <c r="N8" s="25" t="n">
        <f aca="false">J8</f>
        <v>107895.335328</v>
      </c>
      <c r="O8" s="25" t="n">
        <f aca="false">前提条件!$B$29+前提条件!$B$30+前提条件!$B$31+前提条件!$B$32</f>
        <v>310000</v>
      </c>
      <c r="P8" s="25" t="n">
        <f aca="false">E8*前提条件!$B$33</f>
        <v>32560</v>
      </c>
      <c r="Q8" s="25" t="n">
        <f aca="false">K8*前提条件!$B$34</f>
        <v>38041.80693984</v>
      </c>
      <c r="R8" s="25" t="n">
        <f aca="false">前提条件!$B$36/120+前提条件!$B$37/60</f>
        <v>66666.6666666667</v>
      </c>
      <c r="S8" s="25" t="n">
        <f aca="false">SUM(M8:R8)</f>
        <v>1681663.80893451</v>
      </c>
      <c r="T8" s="25" t="n">
        <f aca="false">K8-S8</f>
        <v>-413603.577606507</v>
      </c>
      <c r="U8" s="25" t="n">
        <f aca="false">U7+T8</f>
        <v>-3770868.45182176</v>
      </c>
      <c r="V8" s="25" t="n">
        <f aca="true">IF(A8&gt;前提条件!$B$40,OFFSET(K8,-前提条件!$B$40,0),0)</f>
        <v>856797.4536</v>
      </c>
      <c r="W8" s="25" t="n">
        <f aca="false">S8-R8</f>
        <v>1614997.14226784</v>
      </c>
      <c r="X8" s="25" t="n">
        <f aca="false">V8-W8</f>
        <v>-758199.68866784</v>
      </c>
      <c r="Y8" s="25" t="n">
        <f aca="false">Y7+X8</f>
        <v>-12901357.5256138</v>
      </c>
      <c r="Z8" s="23" t="n">
        <f aca="false">IF(T8&gt;0,1,0)</f>
        <v>0</v>
      </c>
      <c r="AA8" s="23" t="n">
        <f aca="false">IF(Y8&gt;=0,1,0)</f>
        <v>0</v>
      </c>
    </row>
    <row r="9" customFormat="false" ht="15" hidden="false" customHeight="false" outlineLevel="0" collapsed="false">
      <c r="A9" s="23" t="n">
        <v>4</v>
      </c>
      <c r="B9" s="26" t="n">
        <f aca="false">EDATE(前提条件!$B$7,A9-1)</f>
        <v>46569</v>
      </c>
      <c r="C9" s="23" t="n">
        <f aca="false">INT((A9-1)/12)+1</f>
        <v>1</v>
      </c>
      <c r="D9" s="18" t="n">
        <f aca="false">MIN(前提条件!$B$8*前提条件!$E$46,前提条件!$E$44+(A9-1)*前提条件!$E$45)</f>
        <v>8.6</v>
      </c>
      <c r="E9" s="25" t="n">
        <f aca="false">D9*前提条件!$B$9</f>
        <v>189.2</v>
      </c>
      <c r="F9" s="25" t="str">
        <f aca="false">IF(C9=1,"初年度",IF(C9=2,前提条件!$E$47,前提条件!$E$48))</f>
        <v>初年度</v>
      </c>
      <c r="G9" s="25" t="n">
        <f aca="false">IF(C9=1,前提条件!$B$12,INDEX(前提条件!$C$52:$C$59,MATCH(F9,前提条件!$B$52:$B$59,1)))</f>
        <v>673</v>
      </c>
      <c r="H9" s="25" t="n">
        <f aca="false">E9*G9*前提条件!$B$13*前提条件!$B$10</f>
        <v>1252942.944</v>
      </c>
      <c r="I9" s="25" t="n">
        <f aca="false">E9*(前提条件!$B$14*2*前提条件!$B$15+前提条件!$B$16*前提条件!$B$17+前提条件!$B$18)*前提条件!$B$10</f>
        <v>95356.8</v>
      </c>
      <c r="J9" s="25" t="n">
        <f aca="false">(H9+I9)*前提条件!$B$19</f>
        <v>125391.876192</v>
      </c>
      <c r="K9" s="25" t="n">
        <f aca="false">H9+I9+J9</f>
        <v>1473691.620192</v>
      </c>
      <c r="L9" s="18" t="n">
        <f aca="false">MAX(前提条件!$B$24,CEILING(D9/前提条件!$B$23,0.5))</f>
        <v>2</v>
      </c>
      <c r="M9" s="25" t="n">
        <f aca="false">(前提条件!$B$21+L9*前提条件!$B$22)*(12+前提条件!$B$25)/12*(1+前提条件!$B$26)+前提条件!$B$27</f>
        <v>1126500</v>
      </c>
      <c r="N9" s="25" t="n">
        <f aca="false">J9</f>
        <v>125391.876192</v>
      </c>
      <c r="O9" s="25" t="n">
        <f aca="false">前提条件!$B$29+前提条件!$B$30+前提条件!$B$31+前提条件!$B$32</f>
        <v>310000</v>
      </c>
      <c r="P9" s="25" t="n">
        <f aca="false">E9*前提条件!$B$33</f>
        <v>37840</v>
      </c>
      <c r="Q9" s="25" t="n">
        <f aca="false">K9*前提条件!$B$34</f>
        <v>44210.74860576</v>
      </c>
      <c r="R9" s="25" t="n">
        <f aca="false">前提条件!$B$36/120+前提条件!$B$37/60</f>
        <v>66666.6666666667</v>
      </c>
      <c r="S9" s="25" t="n">
        <f aca="false">SUM(M9:R9)</f>
        <v>1710609.29146443</v>
      </c>
      <c r="T9" s="25" t="n">
        <f aca="false">K9-S9</f>
        <v>-236917.671272427</v>
      </c>
      <c r="U9" s="25" t="n">
        <f aca="false">U8+T9</f>
        <v>-4007786.12309419</v>
      </c>
      <c r="V9" s="25" t="n">
        <f aca="true">IF(A9&gt;前提条件!$B$40,OFFSET(K9,-前提条件!$B$40,0),0)</f>
        <v>1062428.842464</v>
      </c>
      <c r="W9" s="25" t="n">
        <f aca="false">S9-R9</f>
        <v>1643942.62479776</v>
      </c>
      <c r="X9" s="25" t="n">
        <f aca="false">V9-W9</f>
        <v>-581513.78233376</v>
      </c>
      <c r="Y9" s="25" t="n">
        <f aca="false">Y8+X9</f>
        <v>-13482871.3079475</v>
      </c>
      <c r="Z9" s="23" t="n">
        <f aca="false">IF(T9&gt;0,1,0)</f>
        <v>0</v>
      </c>
      <c r="AA9" s="23" t="n">
        <f aca="false">IF(Y9&gt;=0,1,0)</f>
        <v>0</v>
      </c>
    </row>
    <row r="10" customFormat="false" ht="15" hidden="false" customHeight="false" outlineLevel="0" collapsed="false">
      <c r="A10" s="23" t="n">
        <v>5</v>
      </c>
      <c r="B10" s="26" t="n">
        <f aca="false">EDATE(前提条件!$B$7,A10-1)</f>
        <v>46600</v>
      </c>
      <c r="C10" s="23" t="n">
        <f aca="false">INT((A10-1)/12)+1</f>
        <v>1</v>
      </c>
      <c r="D10" s="18" t="n">
        <f aca="false">MIN(前提条件!$B$8*前提条件!$E$46,前提条件!$E$44+(A10-1)*前提条件!$E$45)</f>
        <v>9.8</v>
      </c>
      <c r="E10" s="25" t="n">
        <f aca="false">D10*前提条件!$B$9</f>
        <v>215.6</v>
      </c>
      <c r="F10" s="25" t="str">
        <f aca="false">IF(C10=1,"初年度",IF(C10=2,前提条件!$E$47,前提条件!$E$48))</f>
        <v>初年度</v>
      </c>
      <c r="G10" s="25" t="n">
        <f aca="false">IF(C10=1,前提条件!$B$12,INDEX(前提条件!$C$52:$C$59,MATCH(F10,前提条件!$B$52:$B$59,1)))</f>
        <v>673</v>
      </c>
      <c r="H10" s="25" t="n">
        <f aca="false">E10*G10*前提条件!$B$13*前提条件!$B$10</f>
        <v>1427772.192</v>
      </c>
      <c r="I10" s="25" t="n">
        <f aca="false">E10*(前提条件!$B$14*2*前提条件!$B$15+前提条件!$B$16*前提条件!$B$17+前提条件!$B$18)*前提条件!$B$10</f>
        <v>108662.4</v>
      </c>
      <c r="J10" s="25" t="n">
        <f aca="false">(H10+I10)*前提条件!$B$19</f>
        <v>142888.417056</v>
      </c>
      <c r="K10" s="25" t="n">
        <f aca="false">H10+I10+J10</f>
        <v>1679323.009056</v>
      </c>
      <c r="L10" s="18" t="n">
        <f aca="false">MAX(前提条件!$B$24,CEILING(D10/前提条件!$B$23,0.5))</f>
        <v>2</v>
      </c>
      <c r="M10" s="25" t="n">
        <f aca="false">(前提条件!$B$21+L10*前提条件!$B$22)*(12+前提条件!$B$25)/12*(1+前提条件!$B$26)+前提条件!$B$27</f>
        <v>1126500</v>
      </c>
      <c r="N10" s="25" t="n">
        <f aca="false">J10</f>
        <v>142888.417056</v>
      </c>
      <c r="O10" s="25" t="n">
        <f aca="false">前提条件!$B$29+前提条件!$B$30+前提条件!$B$31+前提条件!$B$32</f>
        <v>310000</v>
      </c>
      <c r="P10" s="25" t="n">
        <f aca="false">E10*前提条件!$B$33</f>
        <v>43120</v>
      </c>
      <c r="Q10" s="25" t="n">
        <f aca="false">K10*前提条件!$B$34</f>
        <v>50379.69027168</v>
      </c>
      <c r="R10" s="25" t="n">
        <f aca="false">前提条件!$B$36/120+前提条件!$B$37/60</f>
        <v>66666.6666666667</v>
      </c>
      <c r="S10" s="25" t="n">
        <f aca="false">SUM(M10:R10)</f>
        <v>1739554.77399435</v>
      </c>
      <c r="T10" s="25" t="n">
        <f aca="false">K10-S10</f>
        <v>-60231.7649383466</v>
      </c>
      <c r="U10" s="25" t="n">
        <f aca="false">U9+T10</f>
        <v>-4068017.88803253</v>
      </c>
      <c r="V10" s="25" t="n">
        <f aca="true">IF(A10&gt;前提条件!$B$40,OFFSET(K10,-前提条件!$B$40,0),0)</f>
        <v>1268060.231328</v>
      </c>
      <c r="W10" s="25" t="n">
        <f aca="false">S10-R10</f>
        <v>1672888.10732768</v>
      </c>
      <c r="X10" s="25" t="n">
        <f aca="false">V10-W10</f>
        <v>-404827.87599968</v>
      </c>
      <c r="Y10" s="25" t="n">
        <f aca="false">Y9+X10</f>
        <v>-13887699.1839472</v>
      </c>
      <c r="Z10" s="23" t="n">
        <f aca="false">IF(T10&gt;0,1,0)</f>
        <v>0</v>
      </c>
      <c r="AA10" s="23" t="n">
        <f aca="false">IF(Y10&gt;=0,1,0)</f>
        <v>0</v>
      </c>
    </row>
    <row r="11" customFormat="false" ht="15" hidden="false" customHeight="false" outlineLevel="0" collapsed="false">
      <c r="A11" s="23" t="n">
        <v>6</v>
      </c>
      <c r="B11" s="26" t="n">
        <f aca="false">EDATE(前提条件!$B$7,A11-1)</f>
        <v>46631</v>
      </c>
      <c r="C11" s="23" t="n">
        <f aca="false">INT((A11-1)/12)+1</f>
        <v>1</v>
      </c>
      <c r="D11" s="18" t="n">
        <f aca="false">MIN(前提条件!$B$8*前提条件!$E$46,前提条件!$E$44+(A11-1)*前提条件!$E$45)</f>
        <v>11</v>
      </c>
      <c r="E11" s="25" t="n">
        <f aca="false">D11*前提条件!$B$9</f>
        <v>242</v>
      </c>
      <c r="F11" s="25" t="str">
        <f aca="false">IF(C11=1,"初年度",IF(C11=2,前提条件!$E$47,前提条件!$E$48))</f>
        <v>初年度</v>
      </c>
      <c r="G11" s="25" t="n">
        <f aca="false">IF(C11=1,前提条件!$B$12,INDEX(前提条件!$C$52:$C$59,MATCH(F11,前提条件!$B$52:$B$59,1)))</f>
        <v>673</v>
      </c>
      <c r="H11" s="25" t="n">
        <f aca="false">E11*G11*前提条件!$B$13*前提条件!$B$10</f>
        <v>1602601.44</v>
      </c>
      <c r="I11" s="25" t="n">
        <f aca="false">E11*(前提条件!$B$14*2*前提条件!$B$15+前提条件!$B$16*前提条件!$B$17+前提条件!$B$18)*前提条件!$B$10</f>
        <v>121968</v>
      </c>
      <c r="J11" s="25" t="n">
        <f aca="false">(H11+I11)*前提条件!$B$19</f>
        <v>160384.95792</v>
      </c>
      <c r="K11" s="25" t="n">
        <f aca="false">H11+I11+J11</f>
        <v>1884954.39792</v>
      </c>
      <c r="L11" s="18" t="n">
        <f aca="false">MAX(前提条件!$B$24,CEILING(D11/前提条件!$B$23,0.5))</f>
        <v>2</v>
      </c>
      <c r="M11" s="25" t="n">
        <f aca="false">(前提条件!$B$21+L11*前提条件!$B$22)*(12+前提条件!$B$25)/12*(1+前提条件!$B$26)+前提条件!$B$27</f>
        <v>1126500</v>
      </c>
      <c r="N11" s="25" t="n">
        <f aca="false">J11</f>
        <v>160384.95792</v>
      </c>
      <c r="O11" s="25" t="n">
        <f aca="false">前提条件!$B$29+前提条件!$B$30+前提条件!$B$31+前提条件!$B$32</f>
        <v>310000</v>
      </c>
      <c r="P11" s="25" t="n">
        <f aca="false">E11*前提条件!$B$33</f>
        <v>48400</v>
      </c>
      <c r="Q11" s="25" t="n">
        <f aca="false">K11*前提条件!$B$34</f>
        <v>56548.6319376</v>
      </c>
      <c r="R11" s="25" t="n">
        <f aca="false">前提条件!$B$36/120+前提条件!$B$37/60</f>
        <v>66666.6666666667</v>
      </c>
      <c r="S11" s="25" t="n">
        <f aca="false">SUM(M11:R11)</f>
        <v>1768500.25652427</v>
      </c>
      <c r="T11" s="25" t="n">
        <f aca="false">K11-S11</f>
        <v>116454.141395733</v>
      </c>
      <c r="U11" s="25" t="n">
        <f aca="false">U10+T11</f>
        <v>-3951563.7466368</v>
      </c>
      <c r="V11" s="25" t="n">
        <f aca="true">IF(A11&gt;前提条件!$B$40,OFFSET(K11,-前提条件!$B$40,0),0)</f>
        <v>1473691.620192</v>
      </c>
      <c r="W11" s="25" t="n">
        <f aca="false">S11-R11</f>
        <v>1701833.5898576</v>
      </c>
      <c r="X11" s="25" t="n">
        <f aca="false">V11-W11</f>
        <v>-228141.9696656</v>
      </c>
      <c r="Y11" s="25" t="n">
        <f aca="false">Y10+X11</f>
        <v>-14115841.1536128</v>
      </c>
      <c r="Z11" s="23" t="n">
        <f aca="false">IF(T11&gt;0,1,0)</f>
        <v>1</v>
      </c>
      <c r="AA11" s="23" t="n">
        <f aca="false">IF(Y11&gt;=0,1,0)</f>
        <v>0</v>
      </c>
    </row>
    <row r="12" customFormat="false" ht="15" hidden="false" customHeight="false" outlineLevel="0" collapsed="false">
      <c r="A12" s="23" t="n">
        <v>7</v>
      </c>
      <c r="B12" s="26" t="n">
        <f aca="false">EDATE(前提条件!$B$7,A12-1)</f>
        <v>46661</v>
      </c>
      <c r="C12" s="23" t="n">
        <f aca="false">INT((A12-1)/12)+1</f>
        <v>1</v>
      </c>
      <c r="D12" s="18" t="n">
        <f aca="false">MIN(前提条件!$B$8*前提条件!$E$46,前提条件!$E$44+(A12-1)*前提条件!$E$45)</f>
        <v>12.2</v>
      </c>
      <c r="E12" s="25" t="n">
        <f aca="false">D12*前提条件!$B$9</f>
        <v>268.4</v>
      </c>
      <c r="F12" s="25" t="str">
        <f aca="false">IF(C12=1,"初年度",IF(C12=2,前提条件!$E$47,前提条件!$E$48))</f>
        <v>初年度</v>
      </c>
      <c r="G12" s="25" t="n">
        <f aca="false">IF(C12=1,前提条件!$B$12,INDEX(前提条件!$C$52:$C$59,MATCH(F12,前提条件!$B$52:$B$59,1)))</f>
        <v>673</v>
      </c>
      <c r="H12" s="25" t="n">
        <f aca="false">E12*G12*前提条件!$B$13*前提条件!$B$10</f>
        <v>1777430.688</v>
      </c>
      <c r="I12" s="25" t="n">
        <f aca="false">E12*(前提条件!$B$14*2*前提条件!$B$15+前提条件!$B$16*前提条件!$B$17+前提条件!$B$18)*前提条件!$B$10</f>
        <v>135273.6</v>
      </c>
      <c r="J12" s="25" t="n">
        <f aca="false">(H12+I12)*前提条件!$B$19</f>
        <v>177881.498784</v>
      </c>
      <c r="K12" s="25" t="n">
        <f aca="false">H12+I12+J12</f>
        <v>2090585.786784</v>
      </c>
      <c r="L12" s="18" t="n">
        <f aca="false">MAX(前提条件!$B$24,CEILING(D12/前提条件!$B$23,0.5))</f>
        <v>2.5</v>
      </c>
      <c r="M12" s="25" t="n">
        <f aca="false">(前提条件!$B$21+L12*前提条件!$B$22)*(12+前提条件!$B$25)/12*(1+前提条件!$B$26)+前提条件!$B$27</f>
        <v>1280791.66666667</v>
      </c>
      <c r="N12" s="25" t="n">
        <f aca="false">J12</f>
        <v>177881.498784</v>
      </c>
      <c r="O12" s="25" t="n">
        <f aca="false">前提条件!$B$29+前提条件!$B$30+前提条件!$B$31+前提条件!$B$32</f>
        <v>310000</v>
      </c>
      <c r="P12" s="25" t="n">
        <f aca="false">E12*前提条件!$B$33</f>
        <v>53680</v>
      </c>
      <c r="Q12" s="25" t="n">
        <f aca="false">K12*前提条件!$B$34</f>
        <v>62717.57360352</v>
      </c>
      <c r="R12" s="25" t="n">
        <f aca="false">前提条件!$B$36/120+前提条件!$B$37/60</f>
        <v>66666.6666666667</v>
      </c>
      <c r="S12" s="25" t="n">
        <f aca="false">SUM(M12:R12)</f>
        <v>1951737.40572085</v>
      </c>
      <c r="T12" s="25" t="n">
        <f aca="false">K12-S12</f>
        <v>138848.381063147</v>
      </c>
      <c r="U12" s="25" t="n">
        <f aca="false">U11+T12</f>
        <v>-3812715.36557365</v>
      </c>
      <c r="V12" s="25" t="n">
        <f aca="true">IF(A12&gt;前提条件!$B$40,OFFSET(K12,-前提条件!$B$40,0),0)</f>
        <v>1679323.009056</v>
      </c>
      <c r="W12" s="25" t="n">
        <f aca="false">S12-R12</f>
        <v>1885070.73905419</v>
      </c>
      <c r="X12" s="25" t="n">
        <f aca="false">V12-W12</f>
        <v>-205747.729998186</v>
      </c>
      <c r="Y12" s="25" t="n">
        <f aca="false">Y11+X12</f>
        <v>-14321588.883611</v>
      </c>
      <c r="Z12" s="23" t="n">
        <f aca="false">IF(T12&gt;0,1,0)</f>
        <v>1</v>
      </c>
      <c r="AA12" s="23" t="n">
        <f aca="false">IF(Y12&gt;=0,1,0)</f>
        <v>0</v>
      </c>
    </row>
    <row r="13" customFormat="false" ht="15" hidden="false" customHeight="false" outlineLevel="0" collapsed="false">
      <c r="A13" s="23" t="n">
        <v>8</v>
      </c>
      <c r="B13" s="26" t="n">
        <f aca="false">EDATE(前提条件!$B$7,A13-1)</f>
        <v>46692</v>
      </c>
      <c r="C13" s="23" t="n">
        <f aca="false">INT((A13-1)/12)+1</f>
        <v>1</v>
      </c>
      <c r="D13" s="18" t="n">
        <f aca="false">MIN(前提条件!$B$8*前提条件!$E$46,前提条件!$E$44+(A13-1)*前提条件!$E$45)</f>
        <v>13.4</v>
      </c>
      <c r="E13" s="25" t="n">
        <f aca="false">D13*前提条件!$B$9</f>
        <v>294.8</v>
      </c>
      <c r="F13" s="25" t="str">
        <f aca="false">IF(C13=1,"初年度",IF(C13=2,前提条件!$E$47,前提条件!$E$48))</f>
        <v>初年度</v>
      </c>
      <c r="G13" s="25" t="n">
        <f aca="false">IF(C13=1,前提条件!$B$12,INDEX(前提条件!$C$52:$C$59,MATCH(F13,前提条件!$B$52:$B$59,1)))</f>
        <v>673</v>
      </c>
      <c r="H13" s="25" t="n">
        <f aca="false">E13*G13*前提条件!$B$13*前提条件!$B$10</f>
        <v>1952259.936</v>
      </c>
      <c r="I13" s="25" t="n">
        <f aca="false">E13*(前提条件!$B$14*2*前提条件!$B$15+前提条件!$B$16*前提条件!$B$17+前提条件!$B$18)*前提条件!$B$10</f>
        <v>148579.2</v>
      </c>
      <c r="J13" s="25" t="n">
        <f aca="false">(H13+I13)*前提条件!$B$19</f>
        <v>195378.039648</v>
      </c>
      <c r="K13" s="25" t="n">
        <f aca="false">H13+I13+J13</f>
        <v>2296217.175648</v>
      </c>
      <c r="L13" s="18" t="n">
        <f aca="false">MAX(前提条件!$B$24,CEILING(D13/前提条件!$B$23,0.5))</f>
        <v>2.5</v>
      </c>
      <c r="M13" s="25" t="n">
        <f aca="false">(前提条件!$B$21+L13*前提条件!$B$22)*(12+前提条件!$B$25)/12*(1+前提条件!$B$26)+前提条件!$B$27</f>
        <v>1280791.66666667</v>
      </c>
      <c r="N13" s="25" t="n">
        <f aca="false">J13</f>
        <v>195378.039648</v>
      </c>
      <c r="O13" s="25" t="n">
        <f aca="false">前提条件!$B$29+前提条件!$B$30+前提条件!$B$31+前提条件!$B$32</f>
        <v>310000</v>
      </c>
      <c r="P13" s="25" t="n">
        <f aca="false">E13*前提条件!$B$33</f>
        <v>58960</v>
      </c>
      <c r="Q13" s="25" t="n">
        <f aca="false">K13*前提条件!$B$34</f>
        <v>68886.51526944</v>
      </c>
      <c r="R13" s="25" t="n">
        <f aca="false">前提条件!$B$36/120+前提条件!$B$37/60</f>
        <v>66666.6666666667</v>
      </c>
      <c r="S13" s="25" t="n">
        <f aca="false">SUM(M13:R13)</f>
        <v>1980682.88825077</v>
      </c>
      <c r="T13" s="25" t="n">
        <f aca="false">K13-S13</f>
        <v>315534.287397227</v>
      </c>
      <c r="U13" s="25" t="n">
        <f aca="false">U12+T13</f>
        <v>-3497181.07817643</v>
      </c>
      <c r="V13" s="25" t="n">
        <f aca="true">IF(A13&gt;前提条件!$B$40,OFFSET(K13,-前提条件!$B$40,0),0)</f>
        <v>1884954.39792</v>
      </c>
      <c r="W13" s="25" t="n">
        <f aca="false">S13-R13</f>
        <v>1914016.22158411</v>
      </c>
      <c r="X13" s="25" t="n">
        <f aca="false">V13-W13</f>
        <v>-29061.8236641067</v>
      </c>
      <c r="Y13" s="25" t="n">
        <f aca="false">Y12+X13</f>
        <v>-14350650.7072751</v>
      </c>
      <c r="Z13" s="23" t="n">
        <f aca="false">IF(T13&gt;0,1,0)</f>
        <v>1</v>
      </c>
      <c r="AA13" s="23" t="n">
        <f aca="false">IF(Y13&gt;=0,1,0)</f>
        <v>0</v>
      </c>
    </row>
    <row r="14" customFormat="false" ht="15" hidden="false" customHeight="false" outlineLevel="0" collapsed="false">
      <c r="A14" s="23" t="n">
        <v>9</v>
      </c>
      <c r="B14" s="26" t="n">
        <f aca="false">EDATE(前提条件!$B$7,A14-1)</f>
        <v>46722</v>
      </c>
      <c r="C14" s="23" t="n">
        <f aca="false">INT((A14-1)/12)+1</f>
        <v>1</v>
      </c>
      <c r="D14" s="18" t="n">
        <f aca="false">MIN(前提条件!$B$8*前提条件!$E$46,前提条件!$E$44+(A14-1)*前提条件!$E$45)</f>
        <v>14.6</v>
      </c>
      <c r="E14" s="25" t="n">
        <f aca="false">D14*前提条件!$B$9</f>
        <v>321.2</v>
      </c>
      <c r="F14" s="25" t="str">
        <f aca="false">IF(C14=1,"初年度",IF(C14=2,前提条件!$E$47,前提条件!$E$48))</f>
        <v>初年度</v>
      </c>
      <c r="G14" s="25" t="n">
        <f aca="false">IF(C14=1,前提条件!$B$12,INDEX(前提条件!$C$52:$C$59,MATCH(F14,前提条件!$B$52:$B$59,1)))</f>
        <v>673</v>
      </c>
      <c r="H14" s="25" t="n">
        <f aca="false">E14*G14*前提条件!$B$13*前提条件!$B$10</f>
        <v>2127089.184</v>
      </c>
      <c r="I14" s="25" t="n">
        <f aca="false">E14*(前提条件!$B$14*2*前提条件!$B$15+前提条件!$B$16*前提条件!$B$17+前提条件!$B$18)*前提条件!$B$10</f>
        <v>161884.8</v>
      </c>
      <c r="J14" s="25" t="n">
        <f aca="false">(H14+I14)*前提条件!$B$19</f>
        <v>212874.580512</v>
      </c>
      <c r="K14" s="25" t="n">
        <f aca="false">H14+I14+J14</f>
        <v>2501848.564512</v>
      </c>
      <c r="L14" s="18" t="n">
        <f aca="false">MAX(前提条件!$B$24,CEILING(D14/前提条件!$B$23,0.5))</f>
        <v>2.5</v>
      </c>
      <c r="M14" s="25" t="n">
        <f aca="false">(前提条件!$B$21+L14*前提条件!$B$22)*(12+前提条件!$B$25)/12*(1+前提条件!$B$26)+前提条件!$B$27</f>
        <v>1280791.66666667</v>
      </c>
      <c r="N14" s="25" t="n">
        <f aca="false">J14</f>
        <v>212874.580512</v>
      </c>
      <c r="O14" s="25" t="n">
        <f aca="false">前提条件!$B$29+前提条件!$B$30+前提条件!$B$31+前提条件!$B$32</f>
        <v>310000</v>
      </c>
      <c r="P14" s="25" t="n">
        <f aca="false">E14*前提条件!$B$33</f>
        <v>64240</v>
      </c>
      <c r="Q14" s="25" t="n">
        <f aca="false">K14*前提条件!$B$34</f>
        <v>75055.45693536</v>
      </c>
      <c r="R14" s="25" t="n">
        <f aca="false">前提条件!$B$36/120+前提条件!$B$37/60</f>
        <v>66666.6666666667</v>
      </c>
      <c r="S14" s="25" t="n">
        <f aca="false">SUM(M14:R14)</f>
        <v>2009628.37078069</v>
      </c>
      <c r="T14" s="25" t="n">
        <f aca="false">K14-S14</f>
        <v>492220.193731306</v>
      </c>
      <c r="U14" s="25" t="n">
        <f aca="false">U13+T14</f>
        <v>-3004960.88444512</v>
      </c>
      <c r="V14" s="25" t="n">
        <f aca="true">IF(A14&gt;前提条件!$B$40,OFFSET(K14,-前提条件!$B$40,0),0)</f>
        <v>2090585.786784</v>
      </c>
      <c r="W14" s="25" t="n">
        <f aca="false">S14-R14</f>
        <v>1942961.70411403</v>
      </c>
      <c r="X14" s="25" t="n">
        <f aca="false">V14-W14</f>
        <v>147624.082669973</v>
      </c>
      <c r="Y14" s="25" t="n">
        <f aca="false">Y13+X14</f>
        <v>-14203026.6246051</v>
      </c>
      <c r="Z14" s="23" t="n">
        <f aca="false">IF(T14&gt;0,1,0)</f>
        <v>1</v>
      </c>
      <c r="AA14" s="23" t="n">
        <f aca="false">IF(Y14&gt;=0,1,0)</f>
        <v>0</v>
      </c>
    </row>
    <row r="15" customFormat="false" ht="15" hidden="false" customHeight="false" outlineLevel="0" collapsed="false">
      <c r="A15" s="23" t="n">
        <v>10</v>
      </c>
      <c r="B15" s="26" t="n">
        <f aca="false">EDATE(前提条件!$B$7,A15-1)</f>
        <v>46753</v>
      </c>
      <c r="C15" s="23" t="n">
        <f aca="false">INT((A15-1)/12)+1</f>
        <v>1</v>
      </c>
      <c r="D15" s="18" t="n">
        <f aca="false">MIN(前提条件!$B$8*前提条件!$E$46,前提条件!$E$44+(A15-1)*前提条件!$E$45)</f>
        <v>15.8</v>
      </c>
      <c r="E15" s="25" t="n">
        <f aca="false">D15*前提条件!$B$9</f>
        <v>347.6</v>
      </c>
      <c r="F15" s="25" t="str">
        <f aca="false">IF(C15=1,"初年度",IF(C15=2,前提条件!$E$47,前提条件!$E$48))</f>
        <v>初年度</v>
      </c>
      <c r="G15" s="25" t="n">
        <f aca="false">IF(C15=1,前提条件!$B$12,INDEX(前提条件!$C$52:$C$59,MATCH(F15,前提条件!$B$52:$B$59,1)))</f>
        <v>673</v>
      </c>
      <c r="H15" s="25" t="n">
        <f aca="false">E15*G15*前提条件!$B$13*前提条件!$B$10</f>
        <v>2301918.432</v>
      </c>
      <c r="I15" s="25" t="n">
        <f aca="false">E15*(前提条件!$B$14*2*前提条件!$B$15+前提条件!$B$16*前提条件!$B$17+前提条件!$B$18)*前提条件!$B$10</f>
        <v>175190.4</v>
      </c>
      <c r="J15" s="25" t="n">
        <f aca="false">(H15+I15)*前提条件!$B$19</f>
        <v>230371.121376</v>
      </c>
      <c r="K15" s="25" t="n">
        <f aca="false">H15+I15+J15</f>
        <v>2707479.953376</v>
      </c>
      <c r="L15" s="18" t="n">
        <f aca="false">MAX(前提条件!$B$24,CEILING(D15/前提条件!$B$23,0.5))</f>
        <v>3</v>
      </c>
      <c r="M15" s="25" t="n">
        <f aca="false">(前提条件!$B$21+L15*前提条件!$B$22)*(12+前提条件!$B$25)/12*(1+前提条件!$B$26)+前提条件!$B$27</f>
        <v>1435083.33333333</v>
      </c>
      <c r="N15" s="25" t="n">
        <f aca="false">J15</f>
        <v>230371.121376</v>
      </c>
      <c r="O15" s="25" t="n">
        <f aca="false">前提条件!$B$29+前提条件!$B$30+前提条件!$B$31+前提条件!$B$32</f>
        <v>310000</v>
      </c>
      <c r="P15" s="25" t="n">
        <f aca="false">E15*前提条件!$B$33</f>
        <v>69520</v>
      </c>
      <c r="Q15" s="25" t="n">
        <f aca="false">K15*前提条件!$B$34</f>
        <v>81224.39860128</v>
      </c>
      <c r="R15" s="25" t="n">
        <f aca="false">前提条件!$B$36/120+前提条件!$B$37/60</f>
        <v>66666.6666666667</v>
      </c>
      <c r="S15" s="25" t="n">
        <f aca="false">SUM(M15:R15)</f>
        <v>2192865.51997728</v>
      </c>
      <c r="T15" s="25" t="n">
        <f aca="false">K15-S15</f>
        <v>514614.43339872</v>
      </c>
      <c r="U15" s="25" t="n">
        <f aca="false">U14+T15</f>
        <v>-2490346.4510464</v>
      </c>
      <c r="V15" s="25" t="n">
        <f aca="true">IF(A15&gt;前提条件!$B$40,OFFSET(K15,-前提条件!$B$40,0),0)</f>
        <v>2296217.175648</v>
      </c>
      <c r="W15" s="25" t="n">
        <f aca="false">S15-R15</f>
        <v>2126198.85331061</v>
      </c>
      <c r="X15" s="25" t="n">
        <f aca="false">V15-W15</f>
        <v>170018.322337387</v>
      </c>
      <c r="Y15" s="25" t="n">
        <f aca="false">Y14+X15</f>
        <v>-14033008.3022677</v>
      </c>
      <c r="Z15" s="23" t="n">
        <f aca="false">IF(T15&gt;0,1,0)</f>
        <v>1</v>
      </c>
      <c r="AA15" s="23" t="n">
        <f aca="false">IF(Y15&gt;=0,1,0)</f>
        <v>0</v>
      </c>
    </row>
    <row r="16" customFormat="false" ht="15" hidden="false" customHeight="false" outlineLevel="0" collapsed="false">
      <c r="A16" s="23" t="n">
        <v>11</v>
      </c>
      <c r="B16" s="26" t="n">
        <f aca="false">EDATE(前提条件!$B$7,A16-1)</f>
        <v>46784</v>
      </c>
      <c r="C16" s="23" t="n">
        <f aca="false">INT((A16-1)/12)+1</f>
        <v>1</v>
      </c>
      <c r="D16" s="18" t="n">
        <f aca="false">MIN(前提条件!$B$8*前提条件!$E$46,前提条件!$E$44+(A16-1)*前提条件!$E$45)</f>
        <v>17</v>
      </c>
      <c r="E16" s="25" t="n">
        <f aca="false">D16*前提条件!$B$9</f>
        <v>374</v>
      </c>
      <c r="F16" s="25" t="str">
        <f aca="false">IF(C16=1,"初年度",IF(C16=2,前提条件!$E$47,前提条件!$E$48))</f>
        <v>初年度</v>
      </c>
      <c r="G16" s="25" t="n">
        <f aca="false">IF(C16=1,前提条件!$B$12,INDEX(前提条件!$C$52:$C$59,MATCH(F16,前提条件!$B$52:$B$59,1)))</f>
        <v>673</v>
      </c>
      <c r="H16" s="25" t="n">
        <f aca="false">E16*G16*前提条件!$B$13*前提条件!$B$10</f>
        <v>2476747.68</v>
      </c>
      <c r="I16" s="25" t="n">
        <f aca="false">E16*(前提条件!$B$14*2*前提条件!$B$15+前提条件!$B$16*前提条件!$B$17+前提条件!$B$18)*前提条件!$B$10</f>
        <v>188496</v>
      </c>
      <c r="J16" s="25" t="n">
        <f aca="false">(H16+I16)*前提条件!$B$19</f>
        <v>247867.66224</v>
      </c>
      <c r="K16" s="25" t="n">
        <f aca="false">H16+I16+J16</f>
        <v>2913111.34224</v>
      </c>
      <c r="L16" s="18" t="n">
        <f aca="false">MAX(前提条件!$B$24,CEILING(D16/前提条件!$B$23,0.5))</f>
        <v>3</v>
      </c>
      <c r="M16" s="25" t="n">
        <f aca="false">(前提条件!$B$21+L16*前提条件!$B$22)*(12+前提条件!$B$25)/12*(1+前提条件!$B$26)+前提条件!$B$27</f>
        <v>1435083.33333333</v>
      </c>
      <c r="N16" s="25" t="n">
        <f aca="false">J16</f>
        <v>247867.66224</v>
      </c>
      <c r="O16" s="25" t="n">
        <f aca="false">前提条件!$B$29+前提条件!$B$30+前提条件!$B$31+前提条件!$B$32</f>
        <v>310000</v>
      </c>
      <c r="P16" s="25" t="n">
        <f aca="false">E16*前提条件!$B$33</f>
        <v>74800</v>
      </c>
      <c r="Q16" s="25" t="n">
        <f aca="false">K16*前提条件!$B$34</f>
        <v>87393.3402672</v>
      </c>
      <c r="R16" s="25" t="n">
        <f aca="false">前提条件!$B$36/120+前提条件!$B$37/60</f>
        <v>66666.6666666667</v>
      </c>
      <c r="S16" s="25" t="n">
        <f aca="false">SUM(M16:R16)</f>
        <v>2221811.0025072</v>
      </c>
      <c r="T16" s="25" t="n">
        <f aca="false">K16-S16</f>
        <v>691300.3397328</v>
      </c>
      <c r="U16" s="25" t="n">
        <f aca="false">U15+T16</f>
        <v>-1799046.1113136</v>
      </c>
      <c r="V16" s="25" t="n">
        <f aca="true">IF(A16&gt;前提条件!$B$40,OFFSET(K16,-前提条件!$B$40,0),0)</f>
        <v>2501848.564512</v>
      </c>
      <c r="W16" s="25" t="n">
        <f aca="false">S16-R16</f>
        <v>2155144.33584053</v>
      </c>
      <c r="X16" s="25" t="n">
        <f aca="false">V16-W16</f>
        <v>346704.228671466</v>
      </c>
      <c r="Y16" s="25" t="n">
        <f aca="false">Y15+X16</f>
        <v>-13686304.0735963</v>
      </c>
      <c r="Z16" s="23" t="n">
        <f aca="false">IF(T16&gt;0,1,0)</f>
        <v>1</v>
      </c>
      <c r="AA16" s="23" t="n">
        <f aca="false">IF(Y16&gt;=0,1,0)</f>
        <v>0</v>
      </c>
    </row>
    <row r="17" customFormat="false" ht="15" hidden="false" customHeight="false" outlineLevel="0" collapsed="false">
      <c r="A17" s="27" t="n">
        <v>12</v>
      </c>
      <c r="B17" s="28" t="n">
        <f aca="false">EDATE(前提条件!$B$7,A17-1)</f>
        <v>46813</v>
      </c>
      <c r="C17" s="27" t="n">
        <f aca="false">INT((A17-1)/12)+1</f>
        <v>1</v>
      </c>
      <c r="D17" s="29" t="n">
        <f aca="false">MIN(前提条件!$B$8*前提条件!$E$46,前提条件!$E$44+(A17-1)*前提条件!$E$45)</f>
        <v>18</v>
      </c>
      <c r="E17" s="30" t="n">
        <f aca="false">D17*前提条件!$B$9</f>
        <v>396</v>
      </c>
      <c r="F17" s="30" t="str">
        <f aca="false">IF(C17=1,"初年度",IF(C17=2,前提条件!$E$47,前提条件!$E$48))</f>
        <v>初年度</v>
      </c>
      <c r="G17" s="30" t="n">
        <f aca="false">IF(C17=1,前提条件!$B$12,INDEX(前提条件!$C$52:$C$59,MATCH(F17,前提条件!$B$52:$B$59,1)))</f>
        <v>673</v>
      </c>
      <c r="H17" s="30" t="n">
        <f aca="false">E17*G17*前提条件!$B$13*前提条件!$B$10</f>
        <v>2622438.72</v>
      </c>
      <c r="I17" s="30" t="n">
        <f aca="false">E17*(前提条件!$B$14*2*前提条件!$B$15+前提条件!$B$16*前提条件!$B$17+前提条件!$B$18)*前提条件!$B$10</f>
        <v>199584</v>
      </c>
      <c r="J17" s="30" t="n">
        <f aca="false">(H17+I17)*前提条件!$B$19</f>
        <v>262448.11296</v>
      </c>
      <c r="K17" s="30" t="n">
        <f aca="false">H17+I17+J17</f>
        <v>3084470.83296</v>
      </c>
      <c r="L17" s="29" t="n">
        <f aca="false">MAX(前提条件!$B$24,CEILING(D17/前提条件!$B$23,0.5))</f>
        <v>3</v>
      </c>
      <c r="M17" s="30" t="n">
        <f aca="false">(前提条件!$B$21+L17*前提条件!$B$22)*(12+前提条件!$B$25)/12*(1+前提条件!$B$26)+前提条件!$B$27</f>
        <v>1435083.33333333</v>
      </c>
      <c r="N17" s="30" t="n">
        <f aca="false">J17</f>
        <v>262448.11296</v>
      </c>
      <c r="O17" s="30" t="n">
        <f aca="false">前提条件!$B$29+前提条件!$B$30+前提条件!$B$31+前提条件!$B$32</f>
        <v>310000</v>
      </c>
      <c r="P17" s="30" t="n">
        <f aca="false">E17*前提条件!$B$33</f>
        <v>79200</v>
      </c>
      <c r="Q17" s="30" t="n">
        <f aca="false">K17*前提条件!$B$34</f>
        <v>92534.1249888</v>
      </c>
      <c r="R17" s="30" t="n">
        <f aca="false">前提条件!$B$36/120+前提条件!$B$37/60</f>
        <v>66666.6666666667</v>
      </c>
      <c r="S17" s="30" t="n">
        <f aca="false">SUM(M17:R17)</f>
        <v>2245932.2379488</v>
      </c>
      <c r="T17" s="30" t="n">
        <f aca="false">K17-S17</f>
        <v>838538.5950112</v>
      </c>
      <c r="U17" s="30" t="n">
        <f aca="false">U16+T17</f>
        <v>-960507.516302401</v>
      </c>
      <c r="V17" s="30" t="n">
        <f aca="true">IF(A17&gt;前提条件!$B$40,OFFSET(K17,-前提条件!$B$40,0),0)</f>
        <v>2707479.953376</v>
      </c>
      <c r="W17" s="30" t="n">
        <f aca="false">S17-R17</f>
        <v>2179265.57128213</v>
      </c>
      <c r="X17" s="30" t="n">
        <f aca="false">V17-W17</f>
        <v>528214.382093866</v>
      </c>
      <c r="Y17" s="30" t="n">
        <f aca="false">Y16+X17</f>
        <v>-13158089.6915024</v>
      </c>
      <c r="Z17" s="27" t="n">
        <f aca="false">IF(T17&gt;0,1,0)</f>
        <v>1</v>
      </c>
      <c r="AA17" s="27" t="n">
        <f aca="false">IF(Y17&gt;=0,1,0)</f>
        <v>0</v>
      </c>
    </row>
    <row r="18" customFormat="false" ht="15" hidden="false" customHeight="false" outlineLevel="0" collapsed="false">
      <c r="A18" s="23" t="n">
        <v>13</v>
      </c>
      <c r="B18" s="26" t="n">
        <f aca="false">EDATE(前提条件!$B$7,A18-1)</f>
        <v>46844</v>
      </c>
      <c r="C18" s="23" t="n">
        <f aca="false">INT((A18-1)/12)+1</f>
        <v>2</v>
      </c>
      <c r="D18" s="18" t="n">
        <f aca="false">MIN(前提条件!$B$8*前提条件!$E$46,前提条件!$E$44+(A18-1)*前提条件!$E$45)</f>
        <v>18</v>
      </c>
      <c r="E18" s="25" t="n">
        <f aca="false">D18*前提条件!$B$9</f>
        <v>396</v>
      </c>
      <c r="F18" s="25" t="n">
        <f aca="false">IF(C18=1,"初年度",IF(C18=2,前提条件!$E$47,前提条件!$E$48))</f>
        <v>16000</v>
      </c>
      <c r="G18" s="25" t="n">
        <f aca="false">IF(C18=1,前提条件!$B$12,INDEX(前提条件!$C$52:$C$59,MATCH(F18,前提条件!$B$52:$B$59,1)))</f>
        <v>673</v>
      </c>
      <c r="H18" s="25" t="n">
        <f aca="false">E18*G18*前提条件!$B$13*前提条件!$B$10</f>
        <v>2622438.72</v>
      </c>
      <c r="I18" s="25" t="n">
        <f aca="false">E18*(前提条件!$B$14*2*前提条件!$B$15+前提条件!$B$16*前提条件!$B$17+前提条件!$B$18)*前提条件!$B$10</f>
        <v>199584</v>
      </c>
      <c r="J18" s="25" t="n">
        <f aca="false">(H18+I18)*前提条件!$B$19</f>
        <v>262448.11296</v>
      </c>
      <c r="K18" s="25" t="n">
        <f aca="false">H18+I18+J18</f>
        <v>3084470.83296</v>
      </c>
      <c r="L18" s="18" t="n">
        <f aca="false">MAX(前提条件!$B$24,CEILING(D18/前提条件!$B$23,0.5))</f>
        <v>3</v>
      </c>
      <c r="M18" s="25" t="n">
        <f aca="false">(前提条件!$B$21+L18*前提条件!$B$22)*(12+前提条件!$B$25)/12*(1+前提条件!$B$26)+前提条件!$B$27</f>
        <v>1435083.33333333</v>
      </c>
      <c r="N18" s="25" t="n">
        <f aca="false">J18</f>
        <v>262448.11296</v>
      </c>
      <c r="O18" s="25" t="n">
        <f aca="false">前提条件!$B$29+前提条件!$B$30+前提条件!$B$31+前提条件!$B$32</f>
        <v>310000</v>
      </c>
      <c r="P18" s="25" t="n">
        <f aca="false">E18*前提条件!$B$33</f>
        <v>79200</v>
      </c>
      <c r="Q18" s="25" t="n">
        <f aca="false">K18*前提条件!$B$34</f>
        <v>92534.1249888</v>
      </c>
      <c r="R18" s="25" t="n">
        <f aca="false">前提条件!$B$36/120+前提条件!$B$37/60</f>
        <v>66666.6666666667</v>
      </c>
      <c r="S18" s="25" t="n">
        <f aca="false">SUM(M18:R18)</f>
        <v>2245932.2379488</v>
      </c>
      <c r="T18" s="25" t="n">
        <f aca="false">K18-S18</f>
        <v>838538.5950112</v>
      </c>
      <c r="U18" s="25" t="n">
        <f aca="false">U17+T18</f>
        <v>-121968.921291201</v>
      </c>
      <c r="V18" s="25" t="n">
        <f aca="true">IF(A18&gt;前提条件!$B$40,OFFSET(K18,-前提条件!$B$40,0),0)</f>
        <v>2913111.34224</v>
      </c>
      <c r="W18" s="25" t="n">
        <f aca="false">S18-R18</f>
        <v>2179265.57128213</v>
      </c>
      <c r="X18" s="25" t="n">
        <f aca="false">V18-W18</f>
        <v>733845.770957867</v>
      </c>
      <c r="Y18" s="25" t="n">
        <f aca="false">Y17+X18</f>
        <v>-12424243.9205445</v>
      </c>
      <c r="Z18" s="23" t="n">
        <f aca="false">IF(T18&gt;0,1,0)</f>
        <v>1</v>
      </c>
      <c r="AA18" s="23" t="n">
        <f aca="false">IF(Y18&gt;=0,1,0)</f>
        <v>0</v>
      </c>
    </row>
    <row r="19" customFormat="false" ht="15" hidden="false" customHeight="false" outlineLevel="0" collapsed="false">
      <c r="A19" s="23" t="n">
        <v>14</v>
      </c>
      <c r="B19" s="26" t="n">
        <f aca="false">EDATE(前提条件!$B$7,A19-1)</f>
        <v>46874</v>
      </c>
      <c r="C19" s="23" t="n">
        <f aca="false">INT((A19-1)/12)+1</f>
        <v>2</v>
      </c>
      <c r="D19" s="18" t="n">
        <f aca="false">MIN(前提条件!$B$8*前提条件!$E$46,前提条件!$E$44+(A19-1)*前提条件!$E$45)</f>
        <v>18</v>
      </c>
      <c r="E19" s="25" t="n">
        <f aca="false">D19*前提条件!$B$9</f>
        <v>396</v>
      </c>
      <c r="F19" s="25" t="n">
        <f aca="false">IF(C19=1,"初年度",IF(C19=2,前提条件!$E$47,前提条件!$E$48))</f>
        <v>16000</v>
      </c>
      <c r="G19" s="25" t="n">
        <f aca="false">IF(C19=1,前提条件!$B$12,INDEX(前提条件!$C$52:$C$59,MATCH(F19,前提条件!$B$52:$B$59,1)))</f>
        <v>673</v>
      </c>
      <c r="H19" s="25" t="n">
        <f aca="false">E19*G19*前提条件!$B$13*前提条件!$B$10</f>
        <v>2622438.72</v>
      </c>
      <c r="I19" s="25" t="n">
        <f aca="false">E19*(前提条件!$B$14*2*前提条件!$B$15+前提条件!$B$16*前提条件!$B$17+前提条件!$B$18)*前提条件!$B$10</f>
        <v>199584</v>
      </c>
      <c r="J19" s="25" t="n">
        <f aca="false">(H19+I19)*前提条件!$B$19</f>
        <v>262448.11296</v>
      </c>
      <c r="K19" s="25" t="n">
        <f aca="false">H19+I19+J19</f>
        <v>3084470.83296</v>
      </c>
      <c r="L19" s="18" t="n">
        <f aca="false">MAX(前提条件!$B$24,CEILING(D19/前提条件!$B$23,0.5))</f>
        <v>3</v>
      </c>
      <c r="M19" s="25" t="n">
        <f aca="false">(前提条件!$B$21+L19*前提条件!$B$22)*(12+前提条件!$B$25)/12*(1+前提条件!$B$26)+前提条件!$B$27</f>
        <v>1435083.33333333</v>
      </c>
      <c r="N19" s="25" t="n">
        <f aca="false">J19</f>
        <v>262448.11296</v>
      </c>
      <c r="O19" s="25" t="n">
        <f aca="false">前提条件!$B$29+前提条件!$B$30+前提条件!$B$31+前提条件!$B$32</f>
        <v>310000</v>
      </c>
      <c r="P19" s="25" t="n">
        <f aca="false">E19*前提条件!$B$33</f>
        <v>79200</v>
      </c>
      <c r="Q19" s="25" t="n">
        <f aca="false">K19*前提条件!$B$34</f>
        <v>92534.1249888</v>
      </c>
      <c r="R19" s="25" t="n">
        <f aca="false">前提条件!$B$36/120+前提条件!$B$37/60</f>
        <v>66666.6666666667</v>
      </c>
      <c r="S19" s="25" t="n">
        <f aca="false">SUM(M19:R19)</f>
        <v>2245932.2379488</v>
      </c>
      <c r="T19" s="25" t="n">
        <f aca="false">K19-S19</f>
        <v>838538.5950112</v>
      </c>
      <c r="U19" s="25" t="n">
        <f aca="false">U18+T19</f>
        <v>716569.673719999</v>
      </c>
      <c r="V19" s="25" t="n">
        <f aca="true">IF(A19&gt;前提条件!$B$40,OFFSET(K19,-前提条件!$B$40,0),0)</f>
        <v>3084470.83296</v>
      </c>
      <c r="W19" s="25" t="n">
        <f aca="false">S19-R19</f>
        <v>2179265.57128213</v>
      </c>
      <c r="X19" s="25" t="n">
        <f aca="false">V19-W19</f>
        <v>905205.261677866</v>
      </c>
      <c r="Y19" s="25" t="n">
        <f aca="false">Y18+X19</f>
        <v>-11519038.6588667</v>
      </c>
      <c r="Z19" s="23" t="n">
        <f aca="false">IF(T19&gt;0,1,0)</f>
        <v>1</v>
      </c>
      <c r="AA19" s="23" t="n">
        <f aca="false">IF(Y19&gt;=0,1,0)</f>
        <v>0</v>
      </c>
    </row>
    <row r="20" customFormat="false" ht="15" hidden="false" customHeight="false" outlineLevel="0" collapsed="false">
      <c r="A20" s="23" t="n">
        <v>15</v>
      </c>
      <c r="B20" s="26" t="n">
        <f aca="false">EDATE(前提条件!$B$7,A20-1)</f>
        <v>46905</v>
      </c>
      <c r="C20" s="23" t="n">
        <f aca="false">INT((A20-1)/12)+1</f>
        <v>2</v>
      </c>
      <c r="D20" s="18" t="n">
        <f aca="false">MIN(前提条件!$B$8*前提条件!$E$46,前提条件!$E$44+(A20-1)*前提条件!$E$45)</f>
        <v>18</v>
      </c>
      <c r="E20" s="25" t="n">
        <f aca="false">D20*前提条件!$B$9</f>
        <v>396</v>
      </c>
      <c r="F20" s="25" t="n">
        <f aca="false">IF(C20=1,"初年度",IF(C20=2,前提条件!$E$47,前提条件!$E$48))</f>
        <v>16000</v>
      </c>
      <c r="G20" s="25" t="n">
        <f aca="false">IF(C20=1,前提条件!$B$12,INDEX(前提条件!$C$52:$C$59,MATCH(F20,前提条件!$B$52:$B$59,1)))</f>
        <v>673</v>
      </c>
      <c r="H20" s="25" t="n">
        <f aca="false">E20*G20*前提条件!$B$13*前提条件!$B$10</f>
        <v>2622438.72</v>
      </c>
      <c r="I20" s="25" t="n">
        <f aca="false">E20*(前提条件!$B$14*2*前提条件!$B$15+前提条件!$B$16*前提条件!$B$17+前提条件!$B$18)*前提条件!$B$10</f>
        <v>199584</v>
      </c>
      <c r="J20" s="25" t="n">
        <f aca="false">(H20+I20)*前提条件!$B$19</f>
        <v>262448.11296</v>
      </c>
      <c r="K20" s="25" t="n">
        <f aca="false">H20+I20+J20</f>
        <v>3084470.83296</v>
      </c>
      <c r="L20" s="18" t="n">
        <f aca="false">MAX(前提条件!$B$24,CEILING(D20/前提条件!$B$23,0.5))</f>
        <v>3</v>
      </c>
      <c r="M20" s="25" t="n">
        <f aca="false">(前提条件!$B$21+L20*前提条件!$B$22)*(12+前提条件!$B$25)/12*(1+前提条件!$B$26)+前提条件!$B$27</f>
        <v>1435083.33333333</v>
      </c>
      <c r="N20" s="25" t="n">
        <f aca="false">J20</f>
        <v>262448.11296</v>
      </c>
      <c r="O20" s="25" t="n">
        <f aca="false">前提条件!$B$29+前提条件!$B$30+前提条件!$B$31+前提条件!$B$32</f>
        <v>310000</v>
      </c>
      <c r="P20" s="25" t="n">
        <f aca="false">E20*前提条件!$B$33</f>
        <v>79200</v>
      </c>
      <c r="Q20" s="25" t="n">
        <f aca="false">K20*前提条件!$B$34</f>
        <v>92534.1249888</v>
      </c>
      <c r="R20" s="25" t="n">
        <f aca="false">前提条件!$B$36/120+前提条件!$B$37/60</f>
        <v>66666.6666666667</v>
      </c>
      <c r="S20" s="25" t="n">
        <f aca="false">SUM(M20:R20)</f>
        <v>2245932.2379488</v>
      </c>
      <c r="T20" s="25" t="n">
        <f aca="false">K20-S20</f>
        <v>838538.5950112</v>
      </c>
      <c r="U20" s="25" t="n">
        <f aca="false">U19+T20</f>
        <v>1555108.2687312</v>
      </c>
      <c r="V20" s="25" t="n">
        <f aca="true">IF(A20&gt;前提条件!$B$40,OFFSET(K20,-前提条件!$B$40,0),0)</f>
        <v>3084470.83296</v>
      </c>
      <c r="W20" s="25" t="n">
        <f aca="false">S20-R20</f>
        <v>2179265.57128213</v>
      </c>
      <c r="X20" s="25" t="n">
        <f aca="false">V20-W20</f>
        <v>905205.261677866</v>
      </c>
      <c r="Y20" s="25" t="n">
        <f aca="false">Y19+X20</f>
        <v>-10613833.3971888</v>
      </c>
      <c r="Z20" s="23" t="n">
        <f aca="false">IF(T20&gt;0,1,0)</f>
        <v>1</v>
      </c>
      <c r="AA20" s="23" t="n">
        <f aca="false">IF(Y20&gt;=0,1,0)</f>
        <v>0</v>
      </c>
    </row>
    <row r="21" customFormat="false" ht="15" hidden="false" customHeight="false" outlineLevel="0" collapsed="false">
      <c r="A21" s="23" t="n">
        <v>16</v>
      </c>
      <c r="B21" s="26" t="n">
        <f aca="false">EDATE(前提条件!$B$7,A21-1)</f>
        <v>46935</v>
      </c>
      <c r="C21" s="23" t="n">
        <f aca="false">INT((A21-1)/12)+1</f>
        <v>2</v>
      </c>
      <c r="D21" s="18" t="n">
        <f aca="false">MIN(前提条件!$B$8*前提条件!$E$46,前提条件!$E$44+(A21-1)*前提条件!$E$45)</f>
        <v>18</v>
      </c>
      <c r="E21" s="25" t="n">
        <f aca="false">D21*前提条件!$B$9</f>
        <v>396</v>
      </c>
      <c r="F21" s="25" t="n">
        <f aca="false">IF(C21=1,"初年度",IF(C21=2,前提条件!$E$47,前提条件!$E$48))</f>
        <v>16000</v>
      </c>
      <c r="G21" s="25" t="n">
        <f aca="false">IF(C21=1,前提条件!$B$12,INDEX(前提条件!$C$52:$C$59,MATCH(F21,前提条件!$B$52:$B$59,1)))</f>
        <v>673</v>
      </c>
      <c r="H21" s="25" t="n">
        <f aca="false">E21*G21*前提条件!$B$13*前提条件!$B$10</f>
        <v>2622438.72</v>
      </c>
      <c r="I21" s="25" t="n">
        <f aca="false">E21*(前提条件!$B$14*2*前提条件!$B$15+前提条件!$B$16*前提条件!$B$17+前提条件!$B$18)*前提条件!$B$10</f>
        <v>199584</v>
      </c>
      <c r="J21" s="25" t="n">
        <f aca="false">(H21+I21)*前提条件!$B$19</f>
        <v>262448.11296</v>
      </c>
      <c r="K21" s="25" t="n">
        <f aca="false">H21+I21+J21</f>
        <v>3084470.83296</v>
      </c>
      <c r="L21" s="18" t="n">
        <f aca="false">MAX(前提条件!$B$24,CEILING(D21/前提条件!$B$23,0.5))</f>
        <v>3</v>
      </c>
      <c r="M21" s="25" t="n">
        <f aca="false">(前提条件!$B$21+L21*前提条件!$B$22)*(12+前提条件!$B$25)/12*(1+前提条件!$B$26)+前提条件!$B$27</f>
        <v>1435083.33333333</v>
      </c>
      <c r="N21" s="25" t="n">
        <f aca="false">J21</f>
        <v>262448.11296</v>
      </c>
      <c r="O21" s="25" t="n">
        <f aca="false">前提条件!$B$29+前提条件!$B$30+前提条件!$B$31+前提条件!$B$32</f>
        <v>310000</v>
      </c>
      <c r="P21" s="25" t="n">
        <f aca="false">E21*前提条件!$B$33</f>
        <v>79200</v>
      </c>
      <c r="Q21" s="25" t="n">
        <f aca="false">K21*前提条件!$B$34</f>
        <v>92534.1249888</v>
      </c>
      <c r="R21" s="25" t="n">
        <f aca="false">前提条件!$B$36/120+前提条件!$B$37/60</f>
        <v>66666.6666666667</v>
      </c>
      <c r="S21" s="25" t="n">
        <f aca="false">SUM(M21:R21)</f>
        <v>2245932.2379488</v>
      </c>
      <c r="T21" s="25" t="n">
        <f aca="false">K21-S21</f>
        <v>838538.5950112</v>
      </c>
      <c r="U21" s="25" t="n">
        <f aca="false">U20+T21</f>
        <v>2393646.8637424</v>
      </c>
      <c r="V21" s="25" t="n">
        <f aca="true">IF(A21&gt;前提条件!$B$40,OFFSET(K21,-前提条件!$B$40,0),0)</f>
        <v>3084470.83296</v>
      </c>
      <c r="W21" s="25" t="n">
        <f aca="false">S21-R21</f>
        <v>2179265.57128213</v>
      </c>
      <c r="X21" s="25" t="n">
        <f aca="false">V21-W21</f>
        <v>905205.261677866</v>
      </c>
      <c r="Y21" s="25" t="n">
        <f aca="false">Y20+X21</f>
        <v>-9708628.13551093</v>
      </c>
      <c r="Z21" s="23" t="n">
        <f aca="false">IF(T21&gt;0,1,0)</f>
        <v>1</v>
      </c>
      <c r="AA21" s="23" t="n">
        <f aca="false">IF(Y21&gt;=0,1,0)</f>
        <v>0</v>
      </c>
    </row>
    <row r="22" customFormat="false" ht="15" hidden="false" customHeight="false" outlineLevel="0" collapsed="false">
      <c r="A22" s="23" t="n">
        <v>17</v>
      </c>
      <c r="B22" s="26" t="n">
        <f aca="false">EDATE(前提条件!$B$7,A22-1)</f>
        <v>46966</v>
      </c>
      <c r="C22" s="23" t="n">
        <f aca="false">INT((A22-1)/12)+1</f>
        <v>2</v>
      </c>
      <c r="D22" s="18" t="n">
        <f aca="false">MIN(前提条件!$B$8*前提条件!$E$46,前提条件!$E$44+(A22-1)*前提条件!$E$45)</f>
        <v>18</v>
      </c>
      <c r="E22" s="25" t="n">
        <f aca="false">D22*前提条件!$B$9</f>
        <v>396</v>
      </c>
      <c r="F22" s="25" t="n">
        <f aca="false">IF(C22=1,"初年度",IF(C22=2,前提条件!$E$47,前提条件!$E$48))</f>
        <v>16000</v>
      </c>
      <c r="G22" s="25" t="n">
        <f aca="false">IF(C22=1,前提条件!$B$12,INDEX(前提条件!$C$52:$C$59,MATCH(F22,前提条件!$B$52:$B$59,1)))</f>
        <v>673</v>
      </c>
      <c r="H22" s="25" t="n">
        <f aca="false">E22*G22*前提条件!$B$13*前提条件!$B$10</f>
        <v>2622438.72</v>
      </c>
      <c r="I22" s="25" t="n">
        <f aca="false">E22*(前提条件!$B$14*2*前提条件!$B$15+前提条件!$B$16*前提条件!$B$17+前提条件!$B$18)*前提条件!$B$10</f>
        <v>199584</v>
      </c>
      <c r="J22" s="25" t="n">
        <f aca="false">(H22+I22)*前提条件!$B$19</f>
        <v>262448.11296</v>
      </c>
      <c r="K22" s="25" t="n">
        <f aca="false">H22+I22+J22</f>
        <v>3084470.83296</v>
      </c>
      <c r="L22" s="18" t="n">
        <f aca="false">MAX(前提条件!$B$24,CEILING(D22/前提条件!$B$23,0.5))</f>
        <v>3</v>
      </c>
      <c r="M22" s="25" t="n">
        <f aca="false">(前提条件!$B$21+L22*前提条件!$B$22)*(12+前提条件!$B$25)/12*(1+前提条件!$B$26)+前提条件!$B$27</f>
        <v>1435083.33333333</v>
      </c>
      <c r="N22" s="25" t="n">
        <f aca="false">J22</f>
        <v>262448.11296</v>
      </c>
      <c r="O22" s="25" t="n">
        <f aca="false">前提条件!$B$29+前提条件!$B$30+前提条件!$B$31+前提条件!$B$32</f>
        <v>310000</v>
      </c>
      <c r="P22" s="25" t="n">
        <f aca="false">E22*前提条件!$B$33</f>
        <v>79200</v>
      </c>
      <c r="Q22" s="25" t="n">
        <f aca="false">K22*前提条件!$B$34</f>
        <v>92534.1249888</v>
      </c>
      <c r="R22" s="25" t="n">
        <f aca="false">前提条件!$B$36/120+前提条件!$B$37/60</f>
        <v>66666.6666666667</v>
      </c>
      <c r="S22" s="25" t="n">
        <f aca="false">SUM(M22:R22)</f>
        <v>2245932.2379488</v>
      </c>
      <c r="T22" s="25" t="n">
        <f aca="false">K22-S22</f>
        <v>838538.5950112</v>
      </c>
      <c r="U22" s="25" t="n">
        <f aca="false">U21+T22</f>
        <v>3232185.4587536</v>
      </c>
      <c r="V22" s="25" t="n">
        <f aca="true">IF(A22&gt;前提条件!$B$40,OFFSET(K22,-前提条件!$B$40,0),0)</f>
        <v>3084470.83296</v>
      </c>
      <c r="W22" s="25" t="n">
        <f aca="false">S22-R22</f>
        <v>2179265.57128213</v>
      </c>
      <c r="X22" s="25" t="n">
        <f aca="false">V22-W22</f>
        <v>905205.261677866</v>
      </c>
      <c r="Y22" s="25" t="n">
        <f aca="false">Y21+X22</f>
        <v>-8803422.87383307</v>
      </c>
      <c r="Z22" s="23" t="n">
        <f aca="false">IF(T22&gt;0,1,0)</f>
        <v>1</v>
      </c>
      <c r="AA22" s="23" t="n">
        <f aca="false">IF(Y22&gt;=0,1,0)</f>
        <v>0</v>
      </c>
    </row>
    <row r="23" customFormat="false" ht="15" hidden="false" customHeight="false" outlineLevel="0" collapsed="false">
      <c r="A23" s="23" t="n">
        <v>18</v>
      </c>
      <c r="B23" s="26" t="n">
        <f aca="false">EDATE(前提条件!$B$7,A23-1)</f>
        <v>46997</v>
      </c>
      <c r="C23" s="23" t="n">
        <f aca="false">INT((A23-1)/12)+1</f>
        <v>2</v>
      </c>
      <c r="D23" s="18" t="n">
        <f aca="false">MIN(前提条件!$B$8*前提条件!$E$46,前提条件!$E$44+(A23-1)*前提条件!$E$45)</f>
        <v>18</v>
      </c>
      <c r="E23" s="25" t="n">
        <f aca="false">D23*前提条件!$B$9</f>
        <v>396</v>
      </c>
      <c r="F23" s="25" t="n">
        <f aca="false">IF(C23=1,"初年度",IF(C23=2,前提条件!$E$47,前提条件!$E$48))</f>
        <v>16000</v>
      </c>
      <c r="G23" s="25" t="n">
        <f aca="false">IF(C23=1,前提条件!$B$12,INDEX(前提条件!$C$52:$C$59,MATCH(F23,前提条件!$B$52:$B$59,1)))</f>
        <v>673</v>
      </c>
      <c r="H23" s="25" t="n">
        <f aca="false">E23*G23*前提条件!$B$13*前提条件!$B$10</f>
        <v>2622438.72</v>
      </c>
      <c r="I23" s="25" t="n">
        <f aca="false">E23*(前提条件!$B$14*2*前提条件!$B$15+前提条件!$B$16*前提条件!$B$17+前提条件!$B$18)*前提条件!$B$10</f>
        <v>199584</v>
      </c>
      <c r="J23" s="25" t="n">
        <f aca="false">(H23+I23)*前提条件!$B$19</f>
        <v>262448.11296</v>
      </c>
      <c r="K23" s="25" t="n">
        <f aca="false">H23+I23+J23</f>
        <v>3084470.83296</v>
      </c>
      <c r="L23" s="18" t="n">
        <f aca="false">MAX(前提条件!$B$24,CEILING(D23/前提条件!$B$23,0.5))</f>
        <v>3</v>
      </c>
      <c r="M23" s="25" t="n">
        <f aca="false">(前提条件!$B$21+L23*前提条件!$B$22)*(12+前提条件!$B$25)/12*(1+前提条件!$B$26)+前提条件!$B$27</f>
        <v>1435083.33333333</v>
      </c>
      <c r="N23" s="25" t="n">
        <f aca="false">J23</f>
        <v>262448.11296</v>
      </c>
      <c r="O23" s="25" t="n">
        <f aca="false">前提条件!$B$29+前提条件!$B$30+前提条件!$B$31+前提条件!$B$32</f>
        <v>310000</v>
      </c>
      <c r="P23" s="25" t="n">
        <f aca="false">E23*前提条件!$B$33</f>
        <v>79200</v>
      </c>
      <c r="Q23" s="25" t="n">
        <f aca="false">K23*前提条件!$B$34</f>
        <v>92534.1249888</v>
      </c>
      <c r="R23" s="25" t="n">
        <f aca="false">前提条件!$B$36/120+前提条件!$B$37/60</f>
        <v>66666.6666666667</v>
      </c>
      <c r="S23" s="25" t="n">
        <f aca="false">SUM(M23:R23)</f>
        <v>2245932.2379488</v>
      </c>
      <c r="T23" s="25" t="n">
        <f aca="false">K23-S23</f>
        <v>838538.5950112</v>
      </c>
      <c r="U23" s="25" t="n">
        <f aca="false">U22+T23</f>
        <v>4070724.0537648</v>
      </c>
      <c r="V23" s="25" t="n">
        <f aca="true">IF(A23&gt;前提条件!$B$40,OFFSET(K23,-前提条件!$B$40,0),0)</f>
        <v>3084470.83296</v>
      </c>
      <c r="W23" s="25" t="n">
        <f aca="false">S23-R23</f>
        <v>2179265.57128213</v>
      </c>
      <c r="X23" s="25" t="n">
        <f aca="false">V23-W23</f>
        <v>905205.261677866</v>
      </c>
      <c r="Y23" s="25" t="n">
        <f aca="false">Y22+X23</f>
        <v>-7898217.6121552</v>
      </c>
      <c r="Z23" s="23" t="n">
        <f aca="false">IF(T23&gt;0,1,0)</f>
        <v>1</v>
      </c>
      <c r="AA23" s="23" t="n">
        <f aca="false">IF(Y23&gt;=0,1,0)</f>
        <v>0</v>
      </c>
    </row>
    <row r="24" customFormat="false" ht="15" hidden="false" customHeight="false" outlineLevel="0" collapsed="false">
      <c r="A24" s="23" t="n">
        <v>19</v>
      </c>
      <c r="B24" s="26" t="n">
        <f aca="false">EDATE(前提条件!$B$7,A24-1)</f>
        <v>47027</v>
      </c>
      <c r="C24" s="23" t="n">
        <f aca="false">INT((A24-1)/12)+1</f>
        <v>2</v>
      </c>
      <c r="D24" s="18" t="n">
        <f aca="false">MIN(前提条件!$B$8*前提条件!$E$46,前提条件!$E$44+(A24-1)*前提条件!$E$45)</f>
        <v>18</v>
      </c>
      <c r="E24" s="25" t="n">
        <f aca="false">D24*前提条件!$B$9</f>
        <v>396</v>
      </c>
      <c r="F24" s="25" t="n">
        <f aca="false">IF(C24=1,"初年度",IF(C24=2,前提条件!$E$47,前提条件!$E$48))</f>
        <v>16000</v>
      </c>
      <c r="G24" s="25" t="n">
        <f aca="false">IF(C24=1,前提条件!$B$12,INDEX(前提条件!$C$52:$C$59,MATCH(F24,前提条件!$B$52:$B$59,1)))</f>
        <v>673</v>
      </c>
      <c r="H24" s="25" t="n">
        <f aca="false">E24*G24*前提条件!$B$13*前提条件!$B$10</f>
        <v>2622438.72</v>
      </c>
      <c r="I24" s="25" t="n">
        <f aca="false">E24*(前提条件!$B$14*2*前提条件!$B$15+前提条件!$B$16*前提条件!$B$17+前提条件!$B$18)*前提条件!$B$10</f>
        <v>199584</v>
      </c>
      <c r="J24" s="25" t="n">
        <f aca="false">(H24+I24)*前提条件!$B$19</f>
        <v>262448.11296</v>
      </c>
      <c r="K24" s="25" t="n">
        <f aca="false">H24+I24+J24</f>
        <v>3084470.83296</v>
      </c>
      <c r="L24" s="18" t="n">
        <f aca="false">MAX(前提条件!$B$24,CEILING(D24/前提条件!$B$23,0.5))</f>
        <v>3</v>
      </c>
      <c r="M24" s="25" t="n">
        <f aca="false">(前提条件!$B$21+L24*前提条件!$B$22)*(12+前提条件!$B$25)/12*(1+前提条件!$B$26)+前提条件!$B$27</f>
        <v>1435083.33333333</v>
      </c>
      <c r="N24" s="25" t="n">
        <f aca="false">J24</f>
        <v>262448.11296</v>
      </c>
      <c r="O24" s="25" t="n">
        <f aca="false">前提条件!$B$29+前提条件!$B$30+前提条件!$B$31+前提条件!$B$32</f>
        <v>310000</v>
      </c>
      <c r="P24" s="25" t="n">
        <f aca="false">E24*前提条件!$B$33</f>
        <v>79200</v>
      </c>
      <c r="Q24" s="25" t="n">
        <f aca="false">K24*前提条件!$B$34</f>
        <v>92534.1249888</v>
      </c>
      <c r="R24" s="25" t="n">
        <f aca="false">前提条件!$B$36/120+前提条件!$B$37/60</f>
        <v>66666.6666666667</v>
      </c>
      <c r="S24" s="25" t="n">
        <f aca="false">SUM(M24:R24)</f>
        <v>2245932.2379488</v>
      </c>
      <c r="T24" s="25" t="n">
        <f aca="false">K24-S24</f>
        <v>838538.5950112</v>
      </c>
      <c r="U24" s="25" t="n">
        <f aca="false">U23+T24</f>
        <v>4909262.648776</v>
      </c>
      <c r="V24" s="25" t="n">
        <f aca="true">IF(A24&gt;前提条件!$B$40,OFFSET(K24,-前提条件!$B$40,0),0)</f>
        <v>3084470.83296</v>
      </c>
      <c r="W24" s="25" t="n">
        <f aca="false">S24-R24</f>
        <v>2179265.57128213</v>
      </c>
      <c r="X24" s="25" t="n">
        <f aca="false">V24-W24</f>
        <v>905205.261677866</v>
      </c>
      <c r="Y24" s="25" t="n">
        <f aca="false">Y23+X24</f>
        <v>-6993012.35047733</v>
      </c>
      <c r="Z24" s="23" t="n">
        <f aca="false">IF(T24&gt;0,1,0)</f>
        <v>1</v>
      </c>
      <c r="AA24" s="23" t="n">
        <f aca="false">IF(Y24&gt;=0,1,0)</f>
        <v>0</v>
      </c>
    </row>
    <row r="25" customFormat="false" ht="15" hidden="false" customHeight="false" outlineLevel="0" collapsed="false">
      <c r="A25" s="23" t="n">
        <v>20</v>
      </c>
      <c r="B25" s="26" t="n">
        <f aca="false">EDATE(前提条件!$B$7,A25-1)</f>
        <v>47058</v>
      </c>
      <c r="C25" s="23" t="n">
        <f aca="false">INT((A25-1)/12)+1</f>
        <v>2</v>
      </c>
      <c r="D25" s="18" t="n">
        <f aca="false">MIN(前提条件!$B$8*前提条件!$E$46,前提条件!$E$44+(A25-1)*前提条件!$E$45)</f>
        <v>18</v>
      </c>
      <c r="E25" s="25" t="n">
        <f aca="false">D25*前提条件!$B$9</f>
        <v>396</v>
      </c>
      <c r="F25" s="25" t="n">
        <f aca="false">IF(C25=1,"初年度",IF(C25=2,前提条件!$E$47,前提条件!$E$48))</f>
        <v>16000</v>
      </c>
      <c r="G25" s="25" t="n">
        <f aca="false">IF(C25=1,前提条件!$B$12,INDEX(前提条件!$C$52:$C$59,MATCH(F25,前提条件!$B$52:$B$59,1)))</f>
        <v>673</v>
      </c>
      <c r="H25" s="25" t="n">
        <f aca="false">E25*G25*前提条件!$B$13*前提条件!$B$10</f>
        <v>2622438.72</v>
      </c>
      <c r="I25" s="25" t="n">
        <f aca="false">E25*(前提条件!$B$14*2*前提条件!$B$15+前提条件!$B$16*前提条件!$B$17+前提条件!$B$18)*前提条件!$B$10</f>
        <v>199584</v>
      </c>
      <c r="J25" s="25" t="n">
        <f aca="false">(H25+I25)*前提条件!$B$19</f>
        <v>262448.11296</v>
      </c>
      <c r="K25" s="25" t="n">
        <f aca="false">H25+I25+J25</f>
        <v>3084470.83296</v>
      </c>
      <c r="L25" s="18" t="n">
        <f aca="false">MAX(前提条件!$B$24,CEILING(D25/前提条件!$B$23,0.5))</f>
        <v>3</v>
      </c>
      <c r="M25" s="25" t="n">
        <f aca="false">(前提条件!$B$21+L25*前提条件!$B$22)*(12+前提条件!$B$25)/12*(1+前提条件!$B$26)+前提条件!$B$27</f>
        <v>1435083.33333333</v>
      </c>
      <c r="N25" s="25" t="n">
        <f aca="false">J25</f>
        <v>262448.11296</v>
      </c>
      <c r="O25" s="25" t="n">
        <f aca="false">前提条件!$B$29+前提条件!$B$30+前提条件!$B$31+前提条件!$B$32</f>
        <v>310000</v>
      </c>
      <c r="P25" s="25" t="n">
        <f aca="false">E25*前提条件!$B$33</f>
        <v>79200</v>
      </c>
      <c r="Q25" s="25" t="n">
        <f aca="false">K25*前提条件!$B$34</f>
        <v>92534.1249888</v>
      </c>
      <c r="R25" s="25" t="n">
        <f aca="false">前提条件!$B$36/120+前提条件!$B$37/60</f>
        <v>66666.6666666667</v>
      </c>
      <c r="S25" s="25" t="n">
        <f aca="false">SUM(M25:R25)</f>
        <v>2245932.2379488</v>
      </c>
      <c r="T25" s="25" t="n">
        <f aca="false">K25-S25</f>
        <v>838538.5950112</v>
      </c>
      <c r="U25" s="25" t="n">
        <f aca="false">U24+T25</f>
        <v>5747801.2437872</v>
      </c>
      <c r="V25" s="25" t="n">
        <f aca="true">IF(A25&gt;前提条件!$B$40,OFFSET(K25,-前提条件!$B$40,0),0)</f>
        <v>3084470.83296</v>
      </c>
      <c r="W25" s="25" t="n">
        <f aca="false">S25-R25</f>
        <v>2179265.57128213</v>
      </c>
      <c r="X25" s="25" t="n">
        <f aca="false">V25-W25</f>
        <v>905205.261677866</v>
      </c>
      <c r="Y25" s="25" t="n">
        <f aca="false">Y24+X25</f>
        <v>-6087807.08879947</v>
      </c>
      <c r="Z25" s="23" t="n">
        <f aca="false">IF(T25&gt;0,1,0)</f>
        <v>1</v>
      </c>
      <c r="AA25" s="23" t="n">
        <f aca="false">IF(Y25&gt;=0,1,0)</f>
        <v>0</v>
      </c>
    </row>
    <row r="26" customFormat="false" ht="15" hidden="false" customHeight="false" outlineLevel="0" collapsed="false">
      <c r="A26" s="23" t="n">
        <v>21</v>
      </c>
      <c r="B26" s="26" t="n">
        <f aca="false">EDATE(前提条件!$B$7,A26-1)</f>
        <v>47088</v>
      </c>
      <c r="C26" s="23" t="n">
        <f aca="false">INT((A26-1)/12)+1</f>
        <v>2</v>
      </c>
      <c r="D26" s="18" t="n">
        <f aca="false">MIN(前提条件!$B$8*前提条件!$E$46,前提条件!$E$44+(A26-1)*前提条件!$E$45)</f>
        <v>18</v>
      </c>
      <c r="E26" s="25" t="n">
        <f aca="false">D26*前提条件!$B$9</f>
        <v>396</v>
      </c>
      <c r="F26" s="25" t="n">
        <f aca="false">IF(C26=1,"初年度",IF(C26=2,前提条件!$E$47,前提条件!$E$48))</f>
        <v>16000</v>
      </c>
      <c r="G26" s="25" t="n">
        <f aca="false">IF(C26=1,前提条件!$B$12,INDEX(前提条件!$C$52:$C$59,MATCH(F26,前提条件!$B$52:$B$59,1)))</f>
        <v>673</v>
      </c>
      <c r="H26" s="25" t="n">
        <f aca="false">E26*G26*前提条件!$B$13*前提条件!$B$10</f>
        <v>2622438.72</v>
      </c>
      <c r="I26" s="25" t="n">
        <f aca="false">E26*(前提条件!$B$14*2*前提条件!$B$15+前提条件!$B$16*前提条件!$B$17+前提条件!$B$18)*前提条件!$B$10</f>
        <v>199584</v>
      </c>
      <c r="J26" s="25" t="n">
        <f aca="false">(H26+I26)*前提条件!$B$19</f>
        <v>262448.11296</v>
      </c>
      <c r="K26" s="25" t="n">
        <f aca="false">H26+I26+J26</f>
        <v>3084470.83296</v>
      </c>
      <c r="L26" s="18" t="n">
        <f aca="false">MAX(前提条件!$B$24,CEILING(D26/前提条件!$B$23,0.5))</f>
        <v>3</v>
      </c>
      <c r="M26" s="25" t="n">
        <f aca="false">(前提条件!$B$21+L26*前提条件!$B$22)*(12+前提条件!$B$25)/12*(1+前提条件!$B$26)+前提条件!$B$27</f>
        <v>1435083.33333333</v>
      </c>
      <c r="N26" s="25" t="n">
        <f aca="false">J26</f>
        <v>262448.11296</v>
      </c>
      <c r="O26" s="25" t="n">
        <f aca="false">前提条件!$B$29+前提条件!$B$30+前提条件!$B$31+前提条件!$B$32</f>
        <v>310000</v>
      </c>
      <c r="P26" s="25" t="n">
        <f aca="false">E26*前提条件!$B$33</f>
        <v>79200</v>
      </c>
      <c r="Q26" s="25" t="n">
        <f aca="false">K26*前提条件!$B$34</f>
        <v>92534.1249888</v>
      </c>
      <c r="R26" s="25" t="n">
        <f aca="false">前提条件!$B$36/120+前提条件!$B$37/60</f>
        <v>66666.6666666667</v>
      </c>
      <c r="S26" s="25" t="n">
        <f aca="false">SUM(M26:R26)</f>
        <v>2245932.2379488</v>
      </c>
      <c r="T26" s="25" t="n">
        <f aca="false">K26-S26</f>
        <v>838538.5950112</v>
      </c>
      <c r="U26" s="25" t="n">
        <f aca="false">U25+T26</f>
        <v>6586339.8387984</v>
      </c>
      <c r="V26" s="25" t="n">
        <f aca="true">IF(A26&gt;前提条件!$B$40,OFFSET(K26,-前提条件!$B$40,0),0)</f>
        <v>3084470.83296</v>
      </c>
      <c r="W26" s="25" t="n">
        <f aca="false">S26-R26</f>
        <v>2179265.57128213</v>
      </c>
      <c r="X26" s="25" t="n">
        <f aca="false">V26-W26</f>
        <v>905205.261677866</v>
      </c>
      <c r="Y26" s="25" t="n">
        <f aca="false">Y25+X26</f>
        <v>-5182601.8271216</v>
      </c>
      <c r="Z26" s="23" t="n">
        <f aca="false">IF(T26&gt;0,1,0)</f>
        <v>1</v>
      </c>
      <c r="AA26" s="23" t="n">
        <f aca="false">IF(Y26&gt;=0,1,0)</f>
        <v>0</v>
      </c>
    </row>
    <row r="27" customFormat="false" ht="15" hidden="false" customHeight="false" outlineLevel="0" collapsed="false">
      <c r="A27" s="23" t="n">
        <v>22</v>
      </c>
      <c r="B27" s="26" t="n">
        <f aca="false">EDATE(前提条件!$B$7,A27-1)</f>
        <v>47119</v>
      </c>
      <c r="C27" s="23" t="n">
        <f aca="false">INT((A27-1)/12)+1</f>
        <v>2</v>
      </c>
      <c r="D27" s="18" t="n">
        <f aca="false">MIN(前提条件!$B$8*前提条件!$E$46,前提条件!$E$44+(A27-1)*前提条件!$E$45)</f>
        <v>18</v>
      </c>
      <c r="E27" s="25" t="n">
        <f aca="false">D27*前提条件!$B$9</f>
        <v>396</v>
      </c>
      <c r="F27" s="25" t="n">
        <f aca="false">IF(C27=1,"初年度",IF(C27=2,前提条件!$E$47,前提条件!$E$48))</f>
        <v>16000</v>
      </c>
      <c r="G27" s="25" t="n">
        <f aca="false">IF(C27=1,前提条件!$B$12,INDEX(前提条件!$C$52:$C$59,MATCH(F27,前提条件!$B$52:$B$59,1)))</f>
        <v>673</v>
      </c>
      <c r="H27" s="25" t="n">
        <f aca="false">E27*G27*前提条件!$B$13*前提条件!$B$10</f>
        <v>2622438.72</v>
      </c>
      <c r="I27" s="25" t="n">
        <f aca="false">E27*(前提条件!$B$14*2*前提条件!$B$15+前提条件!$B$16*前提条件!$B$17+前提条件!$B$18)*前提条件!$B$10</f>
        <v>199584</v>
      </c>
      <c r="J27" s="25" t="n">
        <f aca="false">(H27+I27)*前提条件!$B$19</f>
        <v>262448.11296</v>
      </c>
      <c r="K27" s="25" t="n">
        <f aca="false">H27+I27+J27</f>
        <v>3084470.83296</v>
      </c>
      <c r="L27" s="18" t="n">
        <f aca="false">MAX(前提条件!$B$24,CEILING(D27/前提条件!$B$23,0.5))</f>
        <v>3</v>
      </c>
      <c r="M27" s="25" t="n">
        <f aca="false">(前提条件!$B$21+L27*前提条件!$B$22)*(12+前提条件!$B$25)/12*(1+前提条件!$B$26)+前提条件!$B$27</f>
        <v>1435083.33333333</v>
      </c>
      <c r="N27" s="25" t="n">
        <f aca="false">J27</f>
        <v>262448.11296</v>
      </c>
      <c r="O27" s="25" t="n">
        <f aca="false">前提条件!$B$29+前提条件!$B$30+前提条件!$B$31+前提条件!$B$32</f>
        <v>310000</v>
      </c>
      <c r="P27" s="25" t="n">
        <f aca="false">E27*前提条件!$B$33</f>
        <v>79200</v>
      </c>
      <c r="Q27" s="25" t="n">
        <f aca="false">K27*前提条件!$B$34</f>
        <v>92534.1249888</v>
      </c>
      <c r="R27" s="25" t="n">
        <f aca="false">前提条件!$B$36/120+前提条件!$B$37/60</f>
        <v>66666.6666666667</v>
      </c>
      <c r="S27" s="25" t="n">
        <f aca="false">SUM(M27:R27)</f>
        <v>2245932.2379488</v>
      </c>
      <c r="T27" s="25" t="n">
        <f aca="false">K27-S27</f>
        <v>838538.5950112</v>
      </c>
      <c r="U27" s="25" t="n">
        <f aca="false">U26+T27</f>
        <v>7424878.4338096</v>
      </c>
      <c r="V27" s="25" t="n">
        <f aca="true">IF(A27&gt;前提条件!$B$40,OFFSET(K27,-前提条件!$B$40,0),0)</f>
        <v>3084470.83296</v>
      </c>
      <c r="W27" s="25" t="n">
        <f aca="false">S27-R27</f>
        <v>2179265.57128213</v>
      </c>
      <c r="X27" s="25" t="n">
        <f aca="false">V27-W27</f>
        <v>905205.261677866</v>
      </c>
      <c r="Y27" s="25" t="n">
        <f aca="false">Y26+X27</f>
        <v>-4277396.56544373</v>
      </c>
      <c r="Z27" s="23" t="n">
        <f aca="false">IF(T27&gt;0,1,0)</f>
        <v>1</v>
      </c>
      <c r="AA27" s="23" t="n">
        <f aca="false">IF(Y27&gt;=0,1,0)</f>
        <v>0</v>
      </c>
    </row>
    <row r="28" customFormat="false" ht="15" hidden="false" customHeight="false" outlineLevel="0" collapsed="false">
      <c r="A28" s="23" t="n">
        <v>23</v>
      </c>
      <c r="B28" s="26" t="n">
        <f aca="false">EDATE(前提条件!$B$7,A28-1)</f>
        <v>47150</v>
      </c>
      <c r="C28" s="23" t="n">
        <f aca="false">INT((A28-1)/12)+1</f>
        <v>2</v>
      </c>
      <c r="D28" s="18" t="n">
        <f aca="false">MIN(前提条件!$B$8*前提条件!$E$46,前提条件!$E$44+(A28-1)*前提条件!$E$45)</f>
        <v>18</v>
      </c>
      <c r="E28" s="25" t="n">
        <f aca="false">D28*前提条件!$B$9</f>
        <v>396</v>
      </c>
      <c r="F28" s="25" t="n">
        <f aca="false">IF(C28=1,"初年度",IF(C28=2,前提条件!$E$47,前提条件!$E$48))</f>
        <v>16000</v>
      </c>
      <c r="G28" s="25" t="n">
        <f aca="false">IF(C28=1,前提条件!$B$12,INDEX(前提条件!$C$52:$C$59,MATCH(F28,前提条件!$B$52:$B$59,1)))</f>
        <v>673</v>
      </c>
      <c r="H28" s="25" t="n">
        <f aca="false">E28*G28*前提条件!$B$13*前提条件!$B$10</f>
        <v>2622438.72</v>
      </c>
      <c r="I28" s="25" t="n">
        <f aca="false">E28*(前提条件!$B$14*2*前提条件!$B$15+前提条件!$B$16*前提条件!$B$17+前提条件!$B$18)*前提条件!$B$10</f>
        <v>199584</v>
      </c>
      <c r="J28" s="25" t="n">
        <f aca="false">(H28+I28)*前提条件!$B$19</f>
        <v>262448.11296</v>
      </c>
      <c r="K28" s="25" t="n">
        <f aca="false">H28+I28+J28</f>
        <v>3084470.83296</v>
      </c>
      <c r="L28" s="18" t="n">
        <f aca="false">MAX(前提条件!$B$24,CEILING(D28/前提条件!$B$23,0.5))</f>
        <v>3</v>
      </c>
      <c r="M28" s="25" t="n">
        <f aca="false">(前提条件!$B$21+L28*前提条件!$B$22)*(12+前提条件!$B$25)/12*(1+前提条件!$B$26)+前提条件!$B$27</f>
        <v>1435083.33333333</v>
      </c>
      <c r="N28" s="25" t="n">
        <f aca="false">J28</f>
        <v>262448.11296</v>
      </c>
      <c r="O28" s="25" t="n">
        <f aca="false">前提条件!$B$29+前提条件!$B$30+前提条件!$B$31+前提条件!$B$32</f>
        <v>310000</v>
      </c>
      <c r="P28" s="25" t="n">
        <f aca="false">E28*前提条件!$B$33</f>
        <v>79200</v>
      </c>
      <c r="Q28" s="25" t="n">
        <f aca="false">K28*前提条件!$B$34</f>
        <v>92534.1249888</v>
      </c>
      <c r="R28" s="25" t="n">
        <f aca="false">前提条件!$B$36/120+前提条件!$B$37/60</f>
        <v>66666.6666666667</v>
      </c>
      <c r="S28" s="25" t="n">
        <f aca="false">SUM(M28:R28)</f>
        <v>2245932.2379488</v>
      </c>
      <c r="T28" s="25" t="n">
        <f aca="false">K28-S28</f>
        <v>838538.5950112</v>
      </c>
      <c r="U28" s="25" t="n">
        <f aca="false">U27+T28</f>
        <v>8263417.0288208</v>
      </c>
      <c r="V28" s="25" t="n">
        <f aca="true">IF(A28&gt;前提条件!$B$40,OFFSET(K28,-前提条件!$B$40,0),0)</f>
        <v>3084470.83296</v>
      </c>
      <c r="W28" s="25" t="n">
        <f aca="false">S28-R28</f>
        <v>2179265.57128213</v>
      </c>
      <c r="X28" s="25" t="n">
        <f aca="false">V28-W28</f>
        <v>905205.261677866</v>
      </c>
      <c r="Y28" s="25" t="n">
        <f aca="false">Y27+X28</f>
        <v>-3372191.30376587</v>
      </c>
      <c r="Z28" s="23" t="n">
        <f aca="false">IF(T28&gt;0,1,0)</f>
        <v>1</v>
      </c>
      <c r="AA28" s="23" t="n">
        <f aca="false">IF(Y28&gt;=0,1,0)</f>
        <v>0</v>
      </c>
    </row>
    <row r="29" customFormat="false" ht="15" hidden="false" customHeight="false" outlineLevel="0" collapsed="false">
      <c r="A29" s="27" t="n">
        <v>24</v>
      </c>
      <c r="B29" s="28" t="n">
        <f aca="false">EDATE(前提条件!$B$7,A29-1)</f>
        <v>47178</v>
      </c>
      <c r="C29" s="27" t="n">
        <f aca="false">INT((A29-1)/12)+1</f>
        <v>2</v>
      </c>
      <c r="D29" s="29" t="n">
        <f aca="false">MIN(前提条件!$B$8*前提条件!$E$46,前提条件!$E$44+(A29-1)*前提条件!$E$45)</f>
        <v>18</v>
      </c>
      <c r="E29" s="30" t="n">
        <f aca="false">D29*前提条件!$B$9</f>
        <v>396</v>
      </c>
      <c r="F29" s="30" t="n">
        <f aca="false">IF(C29=1,"初年度",IF(C29=2,前提条件!$E$47,前提条件!$E$48))</f>
        <v>16000</v>
      </c>
      <c r="G29" s="30" t="n">
        <f aca="false">IF(C29=1,前提条件!$B$12,INDEX(前提条件!$C$52:$C$59,MATCH(F29,前提条件!$B$52:$B$59,1)))</f>
        <v>673</v>
      </c>
      <c r="H29" s="30" t="n">
        <f aca="false">E29*G29*前提条件!$B$13*前提条件!$B$10</f>
        <v>2622438.72</v>
      </c>
      <c r="I29" s="30" t="n">
        <f aca="false">E29*(前提条件!$B$14*2*前提条件!$B$15+前提条件!$B$16*前提条件!$B$17+前提条件!$B$18)*前提条件!$B$10</f>
        <v>199584</v>
      </c>
      <c r="J29" s="30" t="n">
        <f aca="false">(H29+I29)*前提条件!$B$19</f>
        <v>262448.11296</v>
      </c>
      <c r="K29" s="30" t="n">
        <f aca="false">H29+I29+J29</f>
        <v>3084470.83296</v>
      </c>
      <c r="L29" s="29" t="n">
        <f aca="false">MAX(前提条件!$B$24,CEILING(D29/前提条件!$B$23,0.5))</f>
        <v>3</v>
      </c>
      <c r="M29" s="30" t="n">
        <f aca="false">(前提条件!$B$21+L29*前提条件!$B$22)*(12+前提条件!$B$25)/12*(1+前提条件!$B$26)+前提条件!$B$27</f>
        <v>1435083.33333333</v>
      </c>
      <c r="N29" s="30" t="n">
        <f aca="false">J29</f>
        <v>262448.11296</v>
      </c>
      <c r="O29" s="30" t="n">
        <f aca="false">前提条件!$B$29+前提条件!$B$30+前提条件!$B$31+前提条件!$B$32</f>
        <v>310000</v>
      </c>
      <c r="P29" s="30" t="n">
        <f aca="false">E29*前提条件!$B$33</f>
        <v>79200</v>
      </c>
      <c r="Q29" s="30" t="n">
        <f aca="false">K29*前提条件!$B$34</f>
        <v>92534.1249888</v>
      </c>
      <c r="R29" s="30" t="n">
        <f aca="false">前提条件!$B$36/120+前提条件!$B$37/60</f>
        <v>66666.6666666667</v>
      </c>
      <c r="S29" s="30" t="n">
        <f aca="false">SUM(M29:R29)</f>
        <v>2245932.2379488</v>
      </c>
      <c r="T29" s="30" t="n">
        <f aca="false">K29-S29</f>
        <v>838538.5950112</v>
      </c>
      <c r="U29" s="30" t="n">
        <f aca="false">U28+T29</f>
        <v>9101955.623832</v>
      </c>
      <c r="V29" s="30" t="n">
        <f aca="true">IF(A29&gt;前提条件!$B$40,OFFSET(K29,-前提条件!$B$40,0),0)</f>
        <v>3084470.83296</v>
      </c>
      <c r="W29" s="30" t="n">
        <f aca="false">S29-R29</f>
        <v>2179265.57128213</v>
      </c>
      <c r="X29" s="30" t="n">
        <f aca="false">V29-W29</f>
        <v>905205.261677866</v>
      </c>
      <c r="Y29" s="30" t="n">
        <f aca="false">Y28+X29</f>
        <v>-2466986.042088</v>
      </c>
      <c r="Z29" s="27" t="n">
        <f aca="false">IF(T29&gt;0,1,0)</f>
        <v>1</v>
      </c>
      <c r="AA29" s="27" t="n">
        <f aca="false">IF(Y29&gt;=0,1,0)</f>
        <v>0</v>
      </c>
    </row>
    <row r="30" customFormat="false" ht="15" hidden="false" customHeight="false" outlineLevel="0" collapsed="false">
      <c r="A30" s="23" t="n">
        <v>25</v>
      </c>
      <c r="B30" s="26" t="n">
        <f aca="false">EDATE(前提条件!$B$7,A30-1)</f>
        <v>47209</v>
      </c>
      <c r="C30" s="23" t="n">
        <f aca="false">INT((A30-1)/12)+1</f>
        <v>3</v>
      </c>
      <c r="D30" s="18" t="n">
        <f aca="false">MIN(前提条件!$B$8*前提条件!$E$46,前提条件!$E$44+(A30-1)*前提条件!$E$45)</f>
        <v>18</v>
      </c>
      <c r="E30" s="25" t="n">
        <f aca="false">D30*前提条件!$B$9</f>
        <v>396</v>
      </c>
      <c r="F30" s="25" t="n">
        <f aca="false">IF(C30=1,"初年度",IF(C30=2,前提条件!$E$47,前提条件!$E$48))</f>
        <v>19000</v>
      </c>
      <c r="G30" s="25" t="n">
        <f aca="false">IF(C30=1,前提条件!$B$12,INDEX(前提条件!$C$52:$C$59,MATCH(F30,前提条件!$B$52:$B$59,1)))</f>
        <v>703</v>
      </c>
      <c r="H30" s="25" t="n">
        <f aca="false">E30*G30*前提条件!$B$13*前提条件!$B$10</f>
        <v>2739337.92</v>
      </c>
      <c r="I30" s="25" t="n">
        <f aca="false">E30*(前提条件!$B$14*2*前提条件!$B$15+前提条件!$B$16*前提条件!$B$17+前提条件!$B$18)*前提条件!$B$10</f>
        <v>199584</v>
      </c>
      <c r="J30" s="25" t="n">
        <f aca="false">(H30+I30)*前提条件!$B$19</f>
        <v>273319.73856</v>
      </c>
      <c r="K30" s="25" t="n">
        <f aca="false">H30+I30+J30</f>
        <v>3212241.65856</v>
      </c>
      <c r="L30" s="18" t="n">
        <f aca="false">MAX(前提条件!$B$24,CEILING(D30/前提条件!$B$23,0.5))</f>
        <v>3</v>
      </c>
      <c r="M30" s="25" t="n">
        <f aca="false">(前提条件!$B$21+L30*前提条件!$B$22)*(12+前提条件!$B$25)/12*(1+前提条件!$B$26)+前提条件!$B$27</f>
        <v>1435083.33333333</v>
      </c>
      <c r="N30" s="25" t="n">
        <f aca="false">J30</f>
        <v>273319.73856</v>
      </c>
      <c r="O30" s="25" t="n">
        <f aca="false">前提条件!$B$29+前提条件!$B$30+前提条件!$B$31+前提条件!$B$32</f>
        <v>310000</v>
      </c>
      <c r="P30" s="25" t="n">
        <f aca="false">E30*前提条件!$B$33</f>
        <v>79200</v>
      </c>
      <c r="Q30" s="25" t="n">
        <f aca="false">K30*前提条件!$B$34</f>
        <v>96367.2497568</v>
      </c>
      <c r="R30" s="25" t="n">
        <f aca="false">前提条件!$B$36/120+前提条件!$B$37/60</f>
        <v>66666.6666666667</v>
      </c>
      <c r="S30" s="25" t="n">
        <f aca="false">SUM(M30:R30)</f>
        <v>2260636.9883168</v>
      </c>
      <c r="T30" s="25" t="n">
        <f aca="false">K30-S30</f>
        <v>951604.6702432</v>
      </c>
      <c r="U30" s="25" t="n">
        <f aca="false">U29+T30</f>
        <v>10053560.2940752</v>
      </c>
      <c r="V30" s="25" t="n">
        <f aca="true">IF(A30&gt;前提条件!$B$40,OFFSET(K30,-前提条件!$B$40,0),0)</f>
        <v>3084470.83296</v>
      </c>
      <c r="W30" s="25" t="n">
        <f aca="false">S30-R30</f>
        <v>2193970.32165013</v>
      </c>
      <c r="X30" s="25" t="n">
        <f aca="false">V30-W30</f>
        <v>890500.511309867</v>
      </c>
      <c r="Y30" s="25" t="n">
        <f aca="false">Y29+X30</f>
        <v>-1576485.53077813</v>
      </c>
      <c r="Z30" s="23" t="n">
        <f aca="false">IF(T30&gt;0,1,0)</f>
        <v>1</v>
      </c>
      <c r="AA30" s="23" t="n">
        <f aca="false">IF(Y30&gt;=0,1,0)</f>
        <v>0</v>
      </c>
    </row>
    <row r="31" customFormat="false" ht="15" hidden="false" customHeight="false" outlineLevel="0" collapsed="false">
      <c r="A31" s="23" t="n">
        <v>26</v>
      </c>
      <c r="B31" s="26" t="n">
        <f aca="false">EDATE(前提条件!$B$7,A31-1)</f>
        <v>47239</v>
      </c>
      <c r="C31" s="23" t="n">
        <f aca="false">INT((A31-1)/12)+1</f>
        <v>3</v>
      </c>
      <c r="D31" s="18" t="n">
        <f aca="false">MIN(前提条件!$B$8*前提条件!$E$46,前提条件!$E$44+(A31-1)*前提条件!$E$45)</f>
        <v>18</v>
      </c>
      <c r="E31" s="25" t="n">
        <f aca="false">D31*前提条件!$B$9</f>
        <v>396</v>
      </c>
      <c r="F31" s="25" t="n">
        <f aca="false">IF(C31=1,"初年度",IF(C31=2,前提条件!$E$47,前提条件!$E$48))</f>
        <v>19000</v>
      </c>
      <c r="G31" s="25" t="n">
        <f aca="false">IF(C31=1,前提条件!$B$12,INDEX(前提条件!$C$52:$C$59,MATCH(F31,前提条件!$B$52:$B$59,1)))</f>
        <v>703</v>
      </c>
      <c r="H31" s="25" t="n">
        <f aca="false">E31*G31*前提条件!$B$13*前提条件!$B$10</f>
        <v>2739337.92</v>
      </c>
      <c r="I31" s="25" t="n">
        <f aca="false">E31*(前提条件!$B$14*2*前提条件!$B$15+前提条件!$B$16*前提条件!$B$17+前提条件!$B$18)*前提条件!$B$10</f>
        <v>199584</v>
      </c>
      <c r="J31" s="25" t="n">
        <f aca="false">(H31+I31)*前提条件!$B$19</f>
        <v>273319.73856</v>
      </c>
      <c r="K31" s="25" t="n">
        <f aca="false">H31+I31+J31</f>
        <v>3212241.65856</v>
      </c>
      <c r="L31" s="18" t="n">
        <f aca="false">MAX(前提条件!$B$24,CEILING(D31/前提条件!$B$23,0.5))</f>
        <v>3</v>
      </c>
      <c r="M31" s="25" t="n">
        <f aca="false">(前提条件!$B$21+L31*前提条件!$B$22)*(12+前提条件!$B$25)/12*(1+前提条件!$B$26)+前提条件!$B$27</f>
        <v>1435083.33333333</v>
      </c>
      <c r="N31" s="25" t="n">
        <f aca="false">J31</f>
        <v>273319.73856</v>
      </c>
      <c r="O31" s="25" t="n">
        <f aca="false">前提条件!$B$29+前提条件!$B$30+前提条件!$B$31+前提条件!$B$32</f>
        <v>310000</v>
      </c>
      <c r="P31" s="25" t="n">
        <f aca="false">E31*前提条件!$B$33</f>
        <v>79200</v>
      </c>
      <c r="Q31" s="25" t="n">
        <f aca="false">K31*前提条件!$B$34</f>
        <v>96367.2497568</v>
      </c>
      <c r="R31" s="25" t="n">
        <f aca="false">前提条件!$B$36/120+前提条件!$B$37/60</f>
        <v>66666.6666666667</v>
      </c>
      <c r="S31" s="25" t="n">
        <f aca="false">SUM(M31:R31)</f>
        <v>2260636.9883168</v>
      </c>
      <c r="T31" s="25" t="n">
        <f aca="false">K31-S31</f>
        <v>951604.6702432</v>
      </c>
      <c r="U31" s="25" t="n">
        <f aca="false">U30+T31</f>
        <v>11005164.9643184</v>
      </c>
      <c r="V31" s="25" t="n">
        <f aca="true">IF(A31&gt;前提条件!$B$40,OFFSET(K31,-前提条件!$B$40,0),0)</f>
        <v>3084470.83296</v>
      </c>
      <c r="W31" s="25" t="n">
        <f aca="false">S31-R31</f>
        <v>2193970.32165013</v>
      </c>
      <c r="X31" s="25" t="n">
        <f aca="false">V31-W31</f>
        <v>890500.511309867</v>
      </c>
      <c r="Y31" s="25" t="n">
        <f aca="false">Y30+X31</f>
        <v>-685985.019468266</v>
      </c>
      <c r="Z31" s="23" t="n">
        <f aca="false">IF(T31&gt;0,1,0)</f>
        <v>1</v>
      </c>
      <c r="AA31" s="23" t="n">
        <f aca="false">IF(Y31&gt;=0,1,0)</f>
        <v>0</v>
      </c>
    </row>
    <row r="32" customFormat="false" ht="15" hidden="false" customHeight="false" outlineLevel="0" collapsed="false">
      <c r="A32" s="23" t="n">
        <v>27</v>
      </c>
      <c r="B32" s="26" t="n">
        <f aca="false">EDATE(前提条件!$B$7,A32-1)</f>
        <v>47270</v>
      </c>
      <c r="C32" s="23" t="n">
        <f aca="false">INT((A32-1)/12)+1</f>
        <v>3</v>
      </c>
      <c r="D32" s="18" t="n">
        <f aca="false">MIN(前提条件!$B$8*前提条件!$E$46,前提条件!$E$44+(A32-1)*前提条件!$E$45)</f>
        <v>18</v>
      </c>
      <c r="E32" s="25" t="n">
        <f aca="false">D32*前提条件!$B$9</f>
        <v>396</v>
      </c>
      <c r="F32" s="25" t="n">
        <f aca="false">IF(C32=1,"初年度",IF(C32=2,前提条件!$E$47,前提条件!$E$48))</f>
        <v>19000</v>
      </c>
      <c r="G32" s="25" t="n">
        <f aca="false">IF(C32=1,前提条件!$B$12,INDEX(前提条件!$C$52:$C$59,MATCH(F32,前提条件!$B$52:$B$59,1)))</f>
        <v>703</v>
      </c>
      <c r="H32" s="25" t="n">
        <f aca="false">E32*G32*前提条件!$B$13*前提条件!$B$10</f>
        <v>2739337.92</v>
      </c>
      <c r="I32" s="25" t="n">
        <f aca="false">E32*(前提条件!$B$14*2*前提条件!$B$15+前提条件!$B$16*前提条件!$B$17+前提条件!$B$18)*前提条件!$B$10</f>
        <v>199584</v>
      </c>
      <c r="J32" s="25" t="n">
        <f aca="false">(H32+I32)*前提条件!$B$19</f>
        <v>273319.73856</v>
      </c>
      <c r="K32" s="25" t="n">
        <f aca="false">H32+I32+J32</f>
        <v>3212241.65856</v>
      </c>
      <c r="L32" s="18" t="n">
        <f aca="false">MAX(前提条件!$B$24,CEILING(D32/前提条件!$B$23,0.5))</f>
        <v>3</v>
      </c>
      <c r="M32" s="25" t="n">
        <f aca="false">(前提条件!$B$21+L32*前提条件!$B$22)*(12+前提条件!$B$25)/12*(1+前提条件!$B$26)+前提条件!$B$27</f>
        <v>1435083.33333333</v>
      </c>
      <c r="N32" s="25" t="n">
        <f aca="false">J32</f>
        <v>273319.73856</v>
      </c>
      <c r="O32" s="25" t="n">
        <f aca="false">前提条件!$B$29+前提条件!$B$30+前提条件!$B$31+前提条件!$B$32</f>
        <v>310000</v>
      </c>
      <c r="P32" s="25" t="n">
        <f aca="false">E32*前提条件!$B$33</f>
        <v>79200</v>
      </c>
      <c r="Q32" s="25" t="n">
        <f aca="false">K32*前提条件!$B$34</f>
        <v>96367.2497568</v>
      </c>
      <c r="R32" s="25" t="n">
        <f aca="false">前提条件!$B$36/120+前提条件!$B$37/60</f>
        <v>66666.6666666667</v>
      </c>
      <c r="S32" s="25" t="n">
        <f aca="false">SUM(M32:R32)</f>
        <v>2260636.9883168</v>
      </c>
      <c r="T32" s="25" t="n">
        <f aca="false">K32-S32</f>
        <v>951604.6702432</v>
      </c>
      <c r="U32" s="25" t="n">
        <f aca="false">U31+T32</f>
        <v>11956769.6345616</v>
      </c>
      <c r="V32" s="25" t="n">
        <f aca="true">IF(A32&gt;前提条件!$B$40,OFFSET(K32,-前提条件!$B$40,0),0)</f>
        <v>3212241.65856</v>
      </c>
      <c r="W32" s="25" t="n">
        <f aca="false">S32-R32</f>
        <v>2193970.32165013</v>
      </c>
      <c r="X32" s="25" t="n">
        <f aca="false">V32-W32</f>
        <v>1018271.33690987</v>
      </c>
      <c r="Y32" s="25" t="n">
        <f aca="false">Y31+X32</f>
        <v>332286.317441601</v>
      </c>
      <c r="Z32" s="23" t="n">
        <f aca="false">IF(T32&gt;0,1,0)</f>
        <v>1</v>
      </c>
      <c r="AA32" s="23" t="n">
        <f aca="false">IF(Y32&gt;=0,1,0)</f>
        <v>1</v>
      </c>
    </row>
    <row r="33" customFormat="false" ht="15" hidden="false" customHeight="false" outlineLevel="0" collapsed="false">
      <c r="A33" s="23" t="n">
        <v>28</v>
      </c>
      <c r="B33" s="26" t="n">
        <f aca="false">EDATE(前提条件!$B$7,A33-1)</f>
        <v>47300</v>
      </c>
      <c r="C33" s="23" t="n">
        <f aca="false">INT((A33-1)/12)+1</f>
        <v>3</v>
      </c>
      <c r="D33" s="18" t="n">
        <f aca="false">MIN(前提条件!$B$8*前提条件!$E$46,前提条件!$E$44+(A33-1)*前提条件!$E$45)</f>
        <v>18</v>
      </c>
      <c r="E33" s="25" t="n">
        <f aca="false">D33*前提条件!$B$9</f>
        <v>396</v>
      </c>
      <c r="F33" s="25" t="n">
        <f aca="false">IF(C33=1,"初年度",IF(C33=2,前提条件!$E$47,前提条件!$E$48))</f>
        <v>19000</v>
      </c>
      <c r="G33" s="25" t="n">
        <f aca="false">IF(C33=1,前提条件!$B$12,INDEX(前提条件!$C$52:$C$59,MATCH(F33,前提条件!$B$52:$B$59,1)))</f>
        <v>703</v>
      </c>
      <c r="H33" s="25" t="n">
        <f aca="false">E33*G33*前提条件!$B$13*前提条件!$B$10</f>
        <v>2739337.92</v>
      </c>
      <c r="I33" s="25" t="n">
        <f aca="false">E33*(前提条件!$B$14*2*前提条件!$B$15+前提条件!$B$16*前提条件!$B$17+前提条件!$B$18)*前提条件!$B$10</f>
        <v>199584</v>
      </c>
      <c r="J33" s="25" t="n">
        <f aca="false">(H33+I33)*前提条件!$B$19</f>
        <v>273319.73856</v>
      </c>
      <c r="K33" s="25" t="n">
        <f aca="false">H33+I33+J33</f>
        <v>3212241.65856</v>
      </c>
      <c r="L33" s="18" t="n">
        <f aca="false">MAX(前提条件!$B$24,CEILING(D33/前提条件!$B$23,0.5))</f>
        <v>3</v>
      </c>
      <c r="M33" s="25" t="n">
        <f aca="false">(前提条件!$B$21+L33*前提条件!$B$22)*(12+前提条件!$B$25)/12*(1+前提条件!$B$26)+前提条件!$B$27</f>
        <v>1435083.33333333</v>
      </c>
      <c r="N33" s="25" t="n">
        <f aca="false">J33</f>
        <v>273319.73856</v>
      </c>
      <c r="O33" s="25" t="n">
        <f aca="false">前提条件!$B$29+前提条件!$B$30+前提条件!$B$31+前提条件!$B$32</f>
        <v>310000</v>
      </c>
      <c r="P33" s="25" t="n">
        <f aca="false">E33*前提条件!$B$33</f>
        <v>79200</v>
      </c>
      <c r="Q33" s="25" t="n">
        <f aca="false">K33*前提条件!$B$34</f>
        <v>96367.2497568</v>
      </c>
      <c r="R33" s="25" t="n">
        <f aca="false">前提条件!$B$36/120+前提条件!$B$37/60</f>
        <v>66666.6666666667</v>
      </c>
      <c r="S33" s="25" t="n">
        <f aca="false">SUM(M33:R33)</f>
        <v>2260636.9883168</v>
      </c>
      <c r="T33" s="25" t="n">
        <f aca="false">K33-S33</f>
        <v>951604.6702432</v>
      </c>
      <c r="U33" s="25" t="n">
        <f aca="false">U32+T33</f>
        <v>12908374.3048048</v>
      </c>
      <c r="V33" s="25" t="n">
        <f aca="true">IF(A33&gt;前提条件!$B$40,OFFSET(K33,-前提条件!$B$40,0),0)</f>
        <v>3212241.65856</v>
      </c>
      <c r="W33" s="25" t="n">
        <f aca="false">S33-R33</f>
        <v>2193970.32165013</v>
      </c>
      <c r="X33" s="25" t="n">
        <f aca="false">V33-W33</f>
        <v>1018271.33690987</v>
      </c>
      <c r="Y33" s="25" t="n">
        <f aca="false">Y32+X33</f>
        <v>1350557.65435147</v>
      </c>
      <c r="Z33" s="23" t="n">
        <f aca="false">IF(T33&gt;0,1,0)</f>
        <v>1</v>
      </c>
      <c r="AA33" s="23" t="n">
        <f aca="false">IF(Y33&gt;=0,1,0)</f>
        <v>1</v>
      </c>
    </row>
    <row r="34" customFormat="false" ht="15" hidden="false" customHeight="false" outlineLevel="0" collapsed="false">
      <c r="A34" s="23" t="n">
        <v>29</v>
      </c>
      <c r="B34" s="26" t="n">
        <f aca="false">EDATE(前提条件!$B$7,A34-1)</f>
        <v>47331</v>
      </c>
      <c r="C34" s="23" t="n">
        <f aca="false">INT((A34-1)/12)+1</f>
        <v>3</v>
      </c>
      <c r="D34" s="18" t="n">
        <f aca="false">MIN(前提条件!$B$8*前提条件!$E$46,前提条件!$E$44+(A34-1)*前提条件!$E$45)</f>
        <v>18</v>
      </c>
      <c r="E34" s="25" t="n">
        <f aca="false">D34*前提条件!$B$9</f>
        <v>396</v>
      </c>
      <c r="F34" s="25" t="n">
        <f aca="false">IF(C34=1,"初年度",IF(C34=2,前提条件!$E$47,前提条件!$E$48))</f>
        <v>19000</v>
      </c>
      <c r="G34" s="25" t="n">
        <f aca="false">IF(C34=1,前提条件!$B$12,INDEX(前提条件!$C$52:$C$59,MATCH(F34,前提条件!$B$52:$B$59,1)))</f>
        <v>703</v>
      </c>
      <c r="H34" s="25" t="n">
        <f aca="false">E34*G34*前提条件!$B$13*前提条件!$B$10</f>
        <v>2739337.92</v>
      </c>
      <c r="I34" s="25" t="n">
        <f aca="false">E34*(前提条件!$B$14*2*前提条件!$B$15+前提条件!$B$16*前提条件!$B$17+前提条件!$B$18)*前提条件!$B$10</f>
        <v>199584</v>
      </c>
      <c r="J34" s="25" t="n">
        <f aca="false">(H34+I34)*前提条件!$B$19</f>
        <v>273319.73856</v>
      </c>
      <c r="K34" s="25" t="n">
        <f aca="false">H34+I34+J34</f>
        <v>3212241.65856</v>
      </c>
      <c r="L34" s="18" t="n">
        <f aca="false">MAX(前提条件!$B$24,CEILING(D34/前提条件!$B$23,0.5))</f>
        <v>3</v>
      </c>
      <c r="M34" s="25" t="n">
        <f aca="false">(前提条件!$B$21+L34*前提条件!$B$22)*(12+前提条件!$B$25)/12*(1+前提条件!$B$26)+前提条件!$B$27</f>
        <v>1435083.33333333</v>
      </c>
      <c r="N34" s="25" t="n">
        <f aca="false">J34</f>
        <v>273319.73856</v>
      </c>
      <c r="O34" s="25" t="n">
        <f aca="false">前提条件!$B$29+前提条件!$B$30+前提条件!$B$31+前提条件!$B$32</f>
        <v>310000</v>
      </c>
      <c r="P34" s="25" t="n">
        <f aca="false">E34*前提条件!$B$33</f>
        <v>79200</v>
      </c>
      <c r="Q34" s="25" t="n">
        <f aca="false">K34*前提条件!$B$34</f>
        <v>96367.2497568</v>
      </c>
      <c r="R34" s="25" t="n">
        <f aca="false">前提条件!$B$36/120+前提条件!$B$37/60</f>
        <v>66666.6666666667</v>
      </c>
      <c r="S34" s="25" t="n">
        <f aca="false">SUM(M34:R34)</f>
        <v>2260636.9883168</v>
      </c>
      <c r="T34" s="25" t="n">
        <f aca="false">K34-S34</f>
        <v>951604.6702432</v>
      </c>
      <c r="U34" s="25" t="n">
        <f aca="false">U33+T34</f>
        <v>13859978.975048</v>
      </c>
      <c r="V34" s="25" t="n">
        <f aca="true">IF(A34&gt;前提条件!$B$40,OFFSET(K34,-前提条件!$B$40,0),0)</f>
        <v>3212241.65856</v>
      </c>
      <c r="W34" s="25" t="n">
        <f aca="false">S34-R34</f>
        <v>2193970.32165013</v>
      </c>
      <c r="X34" s="25" t="n">
        <f aca="false">V34-W34</f>
        <v>1018271.33690987</v>
      </c>
      <c r="Y34" s="25" t="n">
        <f aca="false">Y33+X34</f>
        <v>2368828.99126134</v>
      </c>
      <c r="Z34" s="23" t="n">
        <f aca="false">IF(T34&gt;0,1,0)</f>
        <v>1</v>
      </c>
      <c r="AA34" s="23" t="n">
        <f aca="false">IF(Y34&gt;=0,1,0)</f>
        <v>1</v>
      </c>
    </row>
    <row r="35" customFormat="false" ht="15" hidden="false" customHeight="false" outlineLevel="0" collapsed="false">
      <c r="A35" s="23" t="n">
        <v>30</v>
      </c>
      <c r="B35" s="26" t="n">
        <f aca="false">EDATE(前提条件!$B$7,A35-1)</f>
        <v>47362</v>
      </c>
      <c r="C35" s="23" t="n">
        <f aca="false">INT((A35-1)/12)+1</f>
        <v>3</v>
      </c>
      <c r="D35" s="18" t="n">
        <f aca="false">MIN(前提条件!$B$8*前提条件!$E$46,前提条件!$E$44+(A35-1)*前提条件!$E$45)</f>
        <v>18</v>
      </c>
      <c r="E35" s="25" t="n">
        <f aca="false">D35*前提条件!$B$9</f>
        <v>396</v>
      </c>
      <c r="F35" s="25" t="n">
        <f aca="false">IF(C35=1,"初年度",IF(C35=2,前提条件!$E$47,前提条件!$E$48))</f>
        <v>19000</v>
      </c>
      <c r="G35" s="25" t="n">
        <f aca="false">IF(C35=1,前提条件!$B$12,INDEX(前提条件!$C$52:$C$59,MATCH(F35,前提条件!$B$52:$B$59,1)))</f>
        <v>703</v>
      </c>
      <c r="H35" s="25" t="n">
        <f aca="false">E35*G35*前提条件!$B$13*前提条件!$B$10</f>
        <v>2739337.92</v>
      </c>
      <c r="I35" s="25" t="n">
        <f aca="false">E35*(前提条件!$B$14*2*前提条件!$B$15+前提条件!$B$16*前提条件!$B$17+前提条件!$B$18)*前提条件!$B$10</f>
        <v>199584</v>
      </c>
      <c r="J35" s="25" t="n">
        <f aca="false">(H35+I35)*前提条件!$B$19</f>
        <v>273319.73856</v>
      </c>
      <c r="K35" s="25" t="n">
        <f aca="false">H35+I35+J35</f>
        <v>3212241.65856</v>
      </c>
      <c r="L35" s="18" t="n">
        <f aca="false">MAX(前提条件!$B$24,CEILING(D35/前提条件!$B$23,0.5))</f>
        <v>3</v>
      </c>
      <c r="M35" s="25" t="n">
        <f aca="false">(前提条件!$B$21+L35*前提条件!$B$22)*(12+前提条件!$B$25)/12*(1+前提条件!$B$26)+前提条件!$B$27</f>
        <v>1435083.33333333</v>
      </c>
      <c r="N35" s="25" t="n">
        <f aca="false">J35</f>
        <v>273319.73856</v>
      </c>
      <c r="O35" s="25" t="n">
        <f aca="false">前提条件!$B$29+前提条件!$B$30+前提条件!$B$31+前提条件!$B$32</f>
        <v>310000</v>
      </c>
      <c r="P35" s="25" t="n">
        <f aca="false">E35*前提条件!$B$33</f>
        <v>79200</v>
      </c>
      <c r="Q35" s="25" t="n">
        <f aca="false">K35*前提条件!$B$34</f>
        <v>96367.2497568</v>
      </c>
      <c r="R35" s="25" t="n">
        <f aca="false">前提条件!$B$36/120+前提条件!$B$37/60</f>
        <v>66666.6666666667</v>
      </c>
      <c r="S35" s="25" t="n">
        <f aca="false">SUM(M35:R35)</f>
        <v>2260636.9883168</v>
      </c>
      <c r="T35" s="25" t="n">
        <f aca="false">K35-S35</f>
        <v>951604.6702432</v>
      </c>
      <c r="U35" s="25" t="n">
        <f aca="false">U34+T35</f>
        <v>14811583.6452912</v>
      </c>
      <c r="V35" s="25" t="n">
        <f aca="true">IF(A35&gt;前提条件!$B$40,OFFSET(K35,-前提条件!$B$40,0),0)</f>
        <v>3212241.65856</v>
      </c>
      <c r="W35" s="25" t="n">
        <f aca="false">S35-R35</f>
        <v>2193970.32165013</v>
      </c>
      <c r="X35" s="25" t="n">
        <f aca="false">V35-W35</f>
        <v>1018271.33690987</v>
      </c>
      <c r="Y35" s="25" t="n">
        <f aca="false">Y34+X35</f>
        <v>3387100.3281712</v>
      </c>
      <c r="Z35" s="23" t="n">
        <f aca="false">IF(T35&gt;0,1,0)</f>
        <v>1</v>
      </c>
      <c r="AA35" s="23" t="n">
        <f aca="false">IF(Y35&gt;=0,1,0)</f>
        <v>1</v>
      </c>
    </row>
    <row r="36" customFormat="false" ht="15" hidden="false" customHeight="false" outlineLevel="0" collapsed="false">
      <c r="A36" s="23" t="n">
        <v>31</v>
      </c>
      <c r="B36" s="26" t="n">
        <f aca="false">EDATE(前提条件!$B$7,A36-1)</f>
        <v>47392</v>
      </c>
      <c r="C36" s="23" t="n">
        <f aca="false">INT((A36-1)/12)+1</f>
        <v>3</v>
      </c>
      <c r="D36" s="18" t="n">
        <f aca="false">MIN(前提条件!$B$8*前提条件!$E$46,前提条件!$E$44+(A36-1)*前提条件!$E$45)</f>
        <v>18</v>
      </c>
      <c r="E36" s="25" t="n">
        <f aca="false">D36*前提条件!$B$9</f>
        <v>396</v>
      </c>
      <c r="F36" s="25" t="n">
        <f aca="false">IF(C36=1,"初年度",IF(C36=2,前提条件!$E$47,前提条件!$E$48))</f>
        <v>19000</v>
      </c>
      <c r="G36" s="25" t="n">
        <f aca="false">IF(C36=1,前提条件!$B$12,INDEX(前提条件!$C$52:$C$59,MATCH(F36,前提条件!$B$52:$B$59,1)))</f>
        <v>703</v>
      </c>
      <c r="H36" s="25" t="n">
        <f aca="false">E36*G36*前提条件!$B$13*前提条件!$B$10</f>
        <v>2739337.92</v>
      </c>
      <c r="I36" s="25" t="n">
        <f aca="false">E36*(前提条件!$B$14*2*前提条件!$B$15+前提条件!$B$16*前提条件!$B$17+前提条件!$B$18)*前提条件!$B$10</f>
        <v>199584</v>
      </c>
      <c r="J36" s="25" t="n">
        <f aca="false">(H36+I36)*前提条件!$B$19</f>
        <v>273319.73856</v>
      </c>
      <c r="K36" s="25" t="n">
        <f aca="false">H36+I36+J36</f>
        <v>3212241.65856</v>
      </c>
      <c r="L36" s="18" t="n">
        <f aca="false">MAX(前提条件!$B$24,CEILING(D36/前提条件!$B$23,0.5))</f>
        <v>3</v>
      </c>
      <c r="M36" s="25" t="n">
        <f aca="false">(前提条件!$B$21+L36*前提条件!$B$22)*(12+前提条件!$B$25)/12*(1+前提条件!$B$26)+前提条件!$B$27</f>
        <v>1435083.33333333</v>
      </c>
      <c r="N36" s="25" t="n">
        <f aca="false">J36</f>
        <v>273319.73856</v>
      </c>
      <c r="O36" s="25" t="n">
        <f aca="false">前提条件!$B$29+前提条件!$B$30+前提条件!$B$31+前提条件!$B$32</f>
        <v>310000</v>
      </c>
      <c r="P36" s="25" t="n">
        <f aca="false">E36*前提条件!$B$33</f>
        <v>79200</v>
      </c>
      <c r="Q36" s="25" t="n">
        <f aca="false">K36*前提条件!$B$34</f>
        <v>96367.2497568</v>
      </c>
      <c r="R36" s="25" t="n">
        <f aca="false">前提条件!$B$36/120+前提条件!$B$37/60</f>
        <v>66666.6666666667</v>
      </c>
      <c r="S36" s="25" t="n">
        <f aca="false">SUM(M36:R36)</f>
        <v>2260636.9883168</v>
      </c>
      <c r="T36" s="25" t="n">
        <f aca="false">K36-S36</f>
        <v>951604.6702432</v>
      </c>
      <c r="U36" s="25" t="n">
        <f aca="false">U35+T36</f>
        <v>15763188.3155344</v>
      </c>
      <c r="V36" s="25" t="n">
        <f aca="true">IF(A36&gt;前提条件!$B$40,OFFSET(K36,-前提条件!$B$40,0),0)</f>
        <v>3212241.65856</v>
      </c>
      <c r="W36" s="25" t="n">
        <f aca="false">S36-R36</f>
        <v>2193970.32165013</v>
      </c>
      <c r="X36" s="25" t="n">
        <f aca="false">V36-W36</f>
        <v>1018271.33690987</v>
      </c>
      <c r="Y36" s="25" t="n">
        <f aca="false">Y35+X36</f>
        <v>4405371.66508107</v>
      </c>
      <c r="Z36" s="23" t="n">
        <f aca="false">IF(T36&gt;0,1,0)</f>
        <v>1</v>
      </c>
      <c r="AA36" s="23" t="n">
        <f aca="false">IF(Y36&gt;=0,1,0)</f>
        <v>1</v>
      </c>
    </row>
    <row r="37" customFormat="false" ht="15" hidden="false" customHeight="false" outlineLevel="0" collapsed="false">
      <c r="A37" s="23" t="n">
        <v>32</v>
      </c>
      <c r="B37" s="26" t="n">
        <f aca="false">EDATE(前提条件!$B$7,A37-1)</f>
        <v>47423</v>
      </c>
      <c r="C37" s="23" t="n">
        <f aca="false">INT((A37-1)/12)+1</f>
        <v>3</v>
      </c>
      <c r="D37" s="18" t="n">
        <f aca="false">MIN(前提条件!$B$8*前提条件!$E$46,前提条件!$E$44+(A37-1)*前提条件!$E$45)</f>
        <v>18</v>
      </c>
      <c r="E37" s="25" t="n">
        <f aca="false">D37*前提条件!$B$9</f>
        <v>396</v>
      </c>
      <c r="F37" s="25" t="n">
        <f aca="false">IF(C37=1,"初年度",IF(C37=2,前提条件!$E$47,前提条件!$E$48))</f>
        <v>19000</v>
      </c>
      <c r="G37" s="25" t="n">
        <f aca="false">IF(C37=1,前提条件!$B$12,INDEX(前提条件!$C$52:$C$59,MATCH(F37,前提条件!$B$52:$B$59,1)))</f>
        <v>703</v>
      </c>
      <c r="H37" s="25" t="n">
        <f aca="false">E37*G37*前提条件!$B$13*前提条件!$B$10</f>
        <v>2739337.92</v>
      </c>
      <c r="I37" s="25" t="n">
        <f aca="false">E37*(前提条件!$B$14*2*前提条件!$B$15+前提条件!$B$16*前提条件!$B$17+前提条件!$B$18)*前提条件!$B$10</f>
        <v>199584</v>
      </c>
      <c r="J37" s="25" t="n">
        <f aca="false">(H37+I37)*前提条件!$B$19</f>
        <v>273319.73856</v>
      </c>
      <c r="K37" s="25" t="n">
        <f aca="false">H37+I37+J37</f>
        <v>3212241.65856</v>
      </c>
      <c r="L37" s="18" t="n">
        <f aca="false">MAX(前提条件!$B$24,CEILING(D37/前提条件!$B$23,0.5))</f>
        <v>3</v>
      </c>
      <c r="M37" s="25" t="n">
        <f aca="false">(前提条件!$B$21+L37*前提条件!$B$22)*(12+前提条件!$B$25)/12*(1+前提条件!$B$26)+前提条件!$B$27</f>
        <v>1435083.33333333</v>
      </c>
      <c r="N37" s="25" t="n">
        <f aca="false">J37</f>
        <v>273319.73856</v>
      </c>
      <c r="O37" s="25" t="n">
        <f aca="false">前提条件!$B$29+前提条件!$B$30+前提条件!$B$31+前提条件!$B$32</f>
        <v>310000</v>
      </c>
      <c r="P37" s="25" t="n">
        <f aca="false">E37*前提条件!$B$33</f>
        <v>79200</v>
      </c>
      <c r="Q37" s="25" t="n">
        <f aca="false">K37*前提条件!$B$34</f>
        <v>96367.2497568</v>
      </c>
      <c r="R37" s="25" t="n">
        <f aca="false">前提条件!$B$36/120+前提条件!$B$37/60</f>
        <v>66666.6666666667</v>
      </c>
      <c r="S37" s="25" t="n">
        <f aca="false">SUM(M37:R37)</f>
        <v>2260636.9883168</v>
      </c>
      <c r="T37" s="25" t="n">
        <f aca="false">K37-S37</f>
        <v>951604.6702432</v>
      </c>
      <c r="U37" s="25" t="n">
        <f aca="false">U36+T37</f>
        <v>16714792.9857776</v>
      </c>
      <c r="V37" s="25" t="n">
        <f aca="true">IF(A37&gt;前提条件!$B$40,OFFSET(K37,-前提条件!$B$40,0),0)</f>
        <v>3212241.65856</v>
      </c>
      <c r="W37" s="25" t="n">
        <f aca="false">S37-R37</f>
        <v>2193970.32165013</v>
      </c>
      <c r="X37" s="25" t="n">
        <f aca="false">V37-W37</f>
        <v>1018271.33690987</v>
      </c>
      <c r="Y37" s="25" t="n">
        <f aca="false">Y36+X37</f>
        <v>5423643.00199094</v>
      </c>
      <c r="Z37" s="23" t="n">
        <f aca="false">IF(T37&gt;0,1,0)</f>
        <v>1</v>
      </c>
      <c r="AA37" s="23" t="n">
        <f aca="false">IF(Y37&gt;=0,1,0)</f>
        <v>1</v>
      </c>
    </row>
    <row r="38" customFormat="false" ht="15" hidden="false" customHeight="false" outlineLevel="0" collapsed="false">
      <c r="A38" s="23" t="n">
        <v>33</v>
      </c>
      <c r="B38" s="26" t="n">
        <f aca="false">EDATE(前提条件!$B$7,A38-1)</f>
        <v>47453</v>
      </c>
      <c r="C38" s="23" t="n">
        <f aca="false">INT((A38-1)/12)+1</f>
        <v>3</v>
      </c>
      <c r="D38" s="18" t="n">
        <f aca="false">MIN(前提条件!$B$8*前提条件!$E$46,前提条件!$E$44+(A38-1)*前提条件!$E$45)</f>
        <v>18</v>
      </c>
      <c r="E38" s="25" t="n">
        <f aca="false">D38*前提条件!$B$9</f>
        <v>396</v>
      </c>
      <c r="F38" s="25" t="n">
        <f aca="false">IF(C38=1,"初年度",IF(C38=2,前提条件!$E$47,前提条件!$E$48))</f>
        <v>19000</v>
      </c>
      <c r="G38" s="25" t="n">
        <f aca="false">IF(C38=1,前提条件!$B$12,INDEX(前提条件!$C$52:$C$59,MATCH(F38,前提条件!$B$52:$B$59,1)))</f>
        <v>703</v>
      </c>
      <c r="H38" s="25" t="n">
        <f aca="false">E38*G38*前提条件!$B$13*前提条件!$B$10</f>
        <v>2739337.92</v>
      </c>
      <c r="I38" s="25" t="n">
        <f aca="false">E38*(前提条件!$B$14*2*前提条件!$B$15+前提条件!$B$16*前提条件!$B$17+前提条件!$B$18)*前提条件!$B$10</f>
        <v>199584</v>
      </c>
      <c r="J38" s="25" t="n">
        <f aca="false">(H38+I38)*前提条件!$B$19</f>
        <v>273319.73856</v>
      </c>
      <c r="K38" s="25" t="n">
        <f aca="false">H38+I38+J38</f>
        <v>3212241.65856</v>
      </c>
      <c r="L38" s="18" t="n">
        <f aca="false">MAX(前提条件!$B$24,CEILING(D38/前提条件!$B$23,0.5))</f>
        <v>3</v>
      </c>
      <c r="M38" s="25" t="n">
        <f aca="false">(前提条件!$B$21+L38*前提条件!$B$22)*(12+前提条件!$B$25)/12*(1+前提条件!$B$26)+前提条件!$B$27</f>
        <v>1435083.33333333</v>
      </c>
      <c r="N38" s="25" t="n">
        <f aca="false">J38</f>
        <v>273319.73856</v>
      </c>
      <c r="O38" s="25" t="n">
        <f aca="false">前提条件!$B$29+前提条件!$B$30+前提条件!$B$31+前提条件!$B$32</f>
        <v>310000</v>
      </c>
      <c r="P38" s="25" t="n">
        <f aca="false">E38*前提条件!$B$33</f>
        <v>79200</v>
      </c>
      <c r="Q38" s="25" t="n">
        <f aca="false">K38*前提条件!$B$34</f>
        <v>96367.2497568</v>
      </c>
      <c r="R38" s="25" t="n">
        <f aca="false">前提条件!$B$36/120+前提条件!$B$37/60</f>
        <v>66666.6666666667</v>
      </c>
      <c r="S38" s="25" t="n">
        <f aca="false">SUM(M38:R38)</f>
        <v>2260636.9883168</v>
      </c>
      <c r="T38" s="25" t="n">
        <f aca="false">K38-S38</f>
        <v>951604.6702432</v>
      </c>
      <c r="U38" s="25" t="n">
        <f aca="false">U37+T38</f>
        <v>17666397.6560208</v>
      </c>
      <c r="V38" s="25" t="n">
        <f aca="true">IF(A38&gt;前提条件!$B$40,OFFSET(K38,-前提条件!$B$40,0),0)</f>
        <v>3212241.65856</v>
      </c>
      <c r="W38" s="25" t="n">
        <f aca="false">S38-R38</f>
        <v>2193970.32165013</v>
      </c>
      <c r="X38" s="25" t="n">
        <f aca="false">V38-W38</f>
        <v>1018271.33690987</v>
      </c>
      <c r="Y38" s="25" t="n">
        <f aca="false">Y37+X38</f>
        <v>6441914.3389008</v>
      </c>
      <c r="Z38" s="23" t="n">
        <f aca="false">IF(T38&gt;0,1,0)</f>
        <v>1</v>
      </c>
      <c r="AA38" s="23" t="n">
        <f aca="false">IF(Y38&gt;=0,1,0)</f>
        <v>1</v>
      </c>
    </row>
    <row r="39" customFormat="false" ht="15" hidden="false" customHeight="false" outlineLevel="0" collapsed="false">
      <c r="A39" s="23" t="n">
        <v>34</v>
      </c>
      <c r="B39" s="26" t="n">
        <f aca="false">EDATE(前提条件!$B$7,A39-1)</f>
        <v>47484</v>
      </c>
      <c r="C39" s="23" t="n">
        <f aca="false">INT((A39-1)/12)+1</f>
        <v>3</v>
      </c>
      <c r="D39" s="18" t="n">
        <f aca="false">MIN(前提条件!$B$8*前提条件!$E$46,前提条件!$E$44+(A39-1)*前提条件!$E$45)</f>
        <v>18</v>
      </c>
      <c r="E39" s="25" t="n">
        <f aca="false">D39*前提条件!$B$9</f>
        <v>396</v>
      </c>
      <c r="F39" s="25" t="n">
        <f aca="false">IF(C39=1,"初年度",IF(C39=2,前提条件!$E$47,前提条件!$E$48))</f>
        <v>19000</v>
      </c>
      <c r="G39" s="25" t="n">
        <f aca="false">IF(C39=1,前提条件!$B$12,INDEX(前提条件!$C$52:$C$59,MATCH(F39,前提条件!$B$52:$B$59,1)))</f>
        <v>703</v>
      </c>
      <c r="H39" s="25" t="n">
        <f aca="false">E39*G39*前提条件!$B$13*前提条件!$B$10</f>
        <v>2739337.92</v>
      </c>
      <c r="I39" s="25" t="n">
        <f aca="false">E39*(前提条件!$B$14*2*前提条件!$B$15+前提条件!$B$16*前提条件!$B$17+前提条件!$B$18)*前提条件!$B$10</f>
        <v>199584</v>
      </c>
      <c r="J39" s="25" t="n">
        <f aca="false">(H39+I39)*前提条件!$B$19</f>
        <v>273319.73856</v>
      </c>
      <c r="K39" s="25" t="n">
        <f aca="false">H39+I39+J39</f>
        <v>3212241.65856</v>
      </c>
      <c r="L39" s="18" t="n">
        <f aca="false">MAX(前提条件!$B$24,CEILING(D39/前提条件!$B$23,0.5))</f>
        <v>3</v>
      </c>
      <c r="M39" s="25" t="n">
        <f aca="false">(前提条件!$B$21+L39*前提条件!$B$22)*(12+前提条件!$B$25)/12*(1+前提条件!$B$26)+前提条件!$B$27</f>
        <v>1435083.33333333</v>
      </c>
      <c r="N39" s="25" t="n">
        <f aca="false">J39</f>
        <v>273319.73856</v>
      </c>
      <c r="O39" s="25" t="n">
        <f aca="false">前提条件!$B$29+前提条件!$B$30+前提条件!$B$31+前提条件!$B$32</f>
        <v>310000</v>
      </c>
      <c r="P39" s="25" t="n">
        <f aca="false">E39*前提条件!$B$33</f>
        <v>79200</v>
      </c>
      <c r="Q39" s="25" t="n">
        <f aca="false">K39*前提条件!$B$34</f>
        <v>96367.2497568</v>
      </c>
      <c r="R39" s="25" t="n">
        <f aca="false">前提条件!$B$36/120+前提条件!$B$37/60</f>
        <v>66666.6666666667</v>
      </c>
      <c r="S39" s="25" t="n">
        <f aca="false">SUM(M39:R39)</f>
        <v>2260636.9883168</v>
      </c>
      <c r="T39" s="25" t="n">
        <f aca="false">K39-S39</f>
        <v>951604.6702432</v>
      </c>
      <c r="U39" s="25" t="n">
        <f aca="false">U38+T39</f>
        <v>18618002.326264</v>
      </c>
      <c r="V39" s="25" t="n">
        <f aca="true">IF(A39&gt;前提条件!$B$40,OFFSET(K39,-前提条件!$B$40,0),0)</f>
        <v>3212241.65856</v>
      </c>
      <c r="W39" s="25" t="n">
        <f aca="false">S39-R39</f>
        <v>2193970.32165013</v>
      </c>
      <c r="X39" s="25" t="n">
        <f aca="false">V39-W39</f>
        <v>1018271.33690987</v>
      </c>
      <c r="Y39" s="25" t="n">
        <f aca="false">Y38+X39</f>
        <v>7460185.67581067</v>
      </c>
      <c r="Z39" s="23" t="n">
        <f aca="false">IF(T39&gt;0,1,0)</f>
        <v>1</v>
      </c>
      <c r="AA39" s="23" t="n">
        <f aca="false">IF(Y39&gt;=0,1,0)</f>
        <v>1</v>
      </c>
    </row>
    <row r="40" customFormat="false" ht="15" hidden="false" customHeight="false" outlineLevel="0" collapsed="false">
      <c r="A40" s="23" t="n">
        <v>35</v>
      </c>
      <c r="B40" s="26" t="n">
        <f aca="false">EDATE(前提条件!$B$7,A40-1)</f>
        <v>47515</v>
      </c>
      <c r="C40" s="23" t="n">
        <f aca="false">INT((A40-1)/12)+1</f>
        <v>3</v>
      </c>
      <c r="D40" s="18" t="n">
        <f aca="false">MIN(前提条件!$B$8*前提条件!$E$46,前提条件!$E$44+(A40-1)*前提条件!$E$45)</f>
        <v>18</v>
      </c>
      <c r="E40" s="25" t="n">
        <f aca="false">D40*前提条件!$B$9</f>
        <v>396</v>
      </c>
      <c r="F40" s="25" t="n">
        <f aca="false">IF(C40=1,"初年度",IF(C40=2,前提条件!$E$47,前提条件!$E$48))</f>
        <v>19000</v>
      </c>
      <c r="G40" s="25" t="n">
        <f aca="false">IF(C40=1,前提条件!$B$12,INDEX(前提条件!$C$52:$C$59,MATCH(F40,前提条件!$B$52:$B$59,1)))</f>
        <v>703</v>
      </c>
      <c r="H40" s="25" t="n">
        <f aca="false">E40*G40*前提条件!$B$13*前提条件!$B$10</f>
        <v>2739337.92</v>
      </c>
      <c r="I40" s="25" t="n">
        <f aca="false">E40*(前提条件!$B$14*2*前提条件!$B$15+前提条件!$B$16*前提条件!$B$17+前提条件!$B$18)*前提条件!$B$10</f>
        <v>199584</v>
      </c>
      <c r="J40" s="25" t="n">
        <f aca="false">(H40+I40)*前提条件!$B$19</f>
        <v>273319.73856</v>
      </c>
      <c r="K40" s="25" t="n">
        <f aca="false">H40+I40+J40</f>
        <v>3212241.65856</v>
      </c>
      <c r="L40" s="18" t="n">
        <f aca="false">MAX(前提条件!$B$24,CEILING(D40/前提条件!$B$23,0.5))</f>
        <v>3</v>
      </c>
      <c r="M40" s="25" t="n">
        <f aca="false">(前提条件!$B$21+L40*前提条件!$B$22)*(12+前提条件!$B$25)/12*(1+前提条件!$B$26)+前提条件!$B$27</f>
        <v>1435083.33333333</v>
      </c>
      <c r="N40" s="25" t="n">
        <f aca="false">J40</f>
        <v>273319.73856</v>
      </c>
      <c r="O40" s="25" t="n">
        <f aca="false">前提条件!$B$29+前提条件!$B$30+前提条件!$B$31+前提条件!$B$32</f>
        <v>310000</v>
      </c>
      <c r="P40" s="25" t="n">
        <f aca="false">E40*前提条件!$B$33</f>
        <v>79200</v>
      </c>
      <c r="Q40" s="25" t="n">
        <f aca="false">K40*前提条件!$B$34</f>
        <v>96367.2497568</v>
      </c>
      <c r="R40" s="25" t="n">
        <f aca="false">前提条件!$B$36/120+前提条件!$B$37/60</f>
        <v>66666.6666666667</v>
      </c>
      <c r="S40" s="25" t="n">
        <f aca="false">SUM(M40:R40)</f>
        <v>2260636.9883168</v>
      </c>
      <c r="T40" s="25" t="n">
        <f aca="false">K40-S40</f>
        <v>951604.6702432</v>
      </c>
      <c r="U40" s="25" t="n">
        <f aca="false">U39+T40</f>
        <v>19569606.9965072</v>
      </c>
      <c r="V40" s="25" t="n">
        <f aca="true">IF(A40&gt;前提条件!$B$40,OFFSET(K40,-前提条件!$B$40,0),0)</f>
        <v>3212241.65856</v>
      </c>
      <c r="W40" s="25" t="n">
        <f aca="false">S40-R40</f>
        <v>2193970.32165013</v>
      </c>
      <c r="X40" s="25" t="n">
        <f aca="false">V40-W40</f>
        <v>1018271.33690987</v>
      </c>
      <c r="Y40" s="25" t="n">
        <f aca="false">Y39+X40</f>
        <v>8478457.01272054</v>
      </c>
      <c r="Z40" s="23" t="n">
        <f aca="false">IF(T40&gt;0,1,0)</f>
        <v>1</v>
      </c>
      <c r="AA40" s="23" t="n">
        <f aca="false">IF(Y40&gt;=0,1,0)</f>
        <v>1</v>
      </c>
    </row>
    <row r="41" customFormat="false" ht="15" hidden="false" customHeight="false" outlineLevel="0" collapsed="false">
      <c r="A41" s="27" t="n">
        <v>36</v>
      </c>
      <c r="B41" s="28" t="n">
        <f aca="false">EDATE(前提条件!$B$7,A41-1)</f>
        <v>47543</v>
      </c>
      <c r="C41" s="27" t="n">
        <f aca="false">INT((A41-1)/12)+1</f>
        <v>3</v>
      </c>
      <c r="D41" s="29" t="n">
        <f aca="false">MIN(前提条件!$B$8*前提条件!$E$46,前提条件!$E$44+(A41-1)*前提条件!$E$45)</f>
        <v>18</v>
      </c>
      <c r="E41" s="30" t="n">
        <f aca="false">D41*前提条件!$B$9</f>
        <v>396</v>
      </c>
      <c r="F41" s="30" t="n">
        <f aca="false">IF(C41=1,"初年度",IF(C41=2,前提条件!$E$47,前提条件!$E$48))</f>
        <v>19000</v>
      </c>
      <c r="G41" s="30" t="n">
        <f aca="false">IF(C41=1,前提条件!$B$12,INDEX(前提条件!$C$52:$C$59,MATCH(F41,前提条件!$B$52:$B$59,1)))</f>
        <v>703</v>
      </c>
      <c r="H41" s="30" t="n">
        <f aca="false">E41*G41*前提条件!$B$13*前提条件!$B$10</f>
        <v>2739337.92</v>
      </c>
      <c r="I41" s="30" t="n">
        <f aca="false">E41*(前提条件!$B$14*2*前提条件!$B$15+前提条件!$B$16*前提条件!$B$17+前提条件!$B$18)*前提条件!$B$10</f>
        <v>199584</v>
      </c>
      <c r="J41" s="30" t="n">
        <f aca="false">(H41+I41)*前提条件!$B$19</f>
        <v>273319.73856</v>
      </c>
      <c r="K41" s="30" t="n">
        <f aca="false">H41+I41+J41</f>
        <v>3212241.65856</v>
      </c>
      <c r="L41" s="29" t="n">
        <f aca="false">MAX(前提条件!$B$24,CEILING(D41/前提条件!$B$23,0.5))</f>
        <v>3</v>
      </c>
      <c r="M41" s="30" t="n">
        <f aca="false">(前提条件!$B$21+L41*前提条件!$B$22)*(12+前提条件!$B$25)/12*(1+前提条件!$B$26)+前提条件!$B$27</f>
        <v>1435083.33333333</v>
      </c>
      <c r="N41" s="30" t="n">
        <f aca="false">J41</f>
        <v>273319.73856</v>
      </c>
      <c r="O41" s="30" t="n">
        <f aca="false">前提条件!$B$29+前提条件!$B$30+前提条件!$B$31+前提条件!$B$32</f>
        <v>310000</v>
      </c>
      <c r="P41" s="30" t="n">
        <f aca="false">E41*前提条件!$B$33</f>
        <v>79200</v>
      </c>
      <c r="Q41" s="30" t="n">
        <f aca="false">K41*前提条件!$B$34</f>
        <v>96367.2497568</v>
      </c>
      <c r="R41" s="30" t="n">
        <f aca="false">前提条件!$B$36/120+前提条件!$B$37/60</f>
        <v>66666.6666666667</v>
      </c>
      <c r="S41" s="30" t="n">
        <f aca="false">SUM(M41:R41)</f>
        <v>2260636.9883168</v>
      </c>
      <c r="T41" s="30" t="n">
        <f aca="false">K41-S41</f>
        <v>951604.6702432</v>
      </c>
      <c r="U41" s="30" t="n">
        <f aca="false">U40+T41</f>
        <v>20521211.6667504</v>
      </c>
      <c r="V41" s="30" t="n">
        <f aca="true">IF(A41&gt;前提条件!$B$40,OFFSET(K41,-前提条件!$B$40,0),0)</f>
        <v>3212241.65856</v>
      </c>
      <c r="W41" s="30" t="n">
        <f aca="false">S41-R41</f>
        <v>2193970.32165013</v>
      </c>
      <c r="X41" s="30" t="n">
        <f aca="false">V41-W41</f>
        <v>1018271.33690987</v>
      </c>
      <c r="Y41" s="30" t="n">
        <f aca="false">Y40+X41</f>
        <v>9496728.3496304</v>
      </c>
      <c r="Z41" s="27" t="n">
        <f aca="false">IF(T41&gt;0,1,0)</f>
        <v>1</v>
      </c>
      <c r="AA41" s="27" t="n">
        <f aca="false">IF(Y41&gt;=0,1,0)</f>
        <v>1</v>
      </c>
    </row>
  </sheetData>
  <conditionalFormatting sqref="T5:T41">
    <cfRule type="cellIs" priority="2" operator="lessThan" aboveAverage="0" equalAverage="0" bottom="0" percent="0" rank="0" text="" dxfId="0">
      <formula>0</formula>
    </cfRule>
  </conditionalFormatting>
  <conditionalFormatting sqref="Y5:Y41">
    <cfRule type="cellIs" priority="3" operator="lessThan" aboveAverage="0" equalAverage="0" bottom="0" percent="0" rank="0" text="" dxfId="0">
      <formula>0</formula>
    </cfRule>
  </conditionalFormatting>
  <conditionalFormatting sqref="U5:U41">
    <cfRule type="cellIs" priority="4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6" min="2" style="0" width="15"/>
  </cols>
  <sheetData>
    <row r="1" customFormat="false" ht="17.35" hidden="false" customHeight="false" outlineLevel="0" collapsed="false">
      <c r="A1" s="5" t="s">
        <v>152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22" t="str">
        <f aca="false">CONCATENATE("シナリオ：",前提条件!$B$5)</f>
        <v>シナリオ：標準</v>
      </c>
      <c r="B2" s="7"/>
      <c r="C2" s="7"/>
      <c r="D2" s="7"/>
      <c r="E2" s="7"/>
      <c r="F2" s="7"/>
    </row>
    <row r="3" customFormat="false" ht="15" hidden="false" customHeight="false" outlineLevel="0" collapsed="false">
      <c r="A3" s="7"/>
      <c r="B3" s="7"/>
      <c r="C3" s="7"/>
      <c r="D3" s="7"/>
      <c r="E3" s="7"/>
      <c r="F3" s="7"/>
    </row>
    <row r="4" customFormat="false" ht="15" hidden="false" customHeight="false" outlineLevel="0" collapsed="false">
      <c r="A4" s="8" t="s">
        <v>23</v>
      </c>
      <c r="B4" s="8" t="s">
        <v>151</v>
      </c>
      <c r="C4" s="31" t="s">
        <v>153</v>
      </c>
      <c r="D4" s="31" t="s">
        <v>154</v>
      </c>
      <c r="E4" s="31" t="s">
        <v>155</v>
      </c>
      <c r="F4" s="31" t="s">
        <v>156</v>
      </c>
    </row>
    <row r="5" customFormat="false" ht="15" hidden="false" customHeight="false" outlineLevel="0" collapsed="false">
      <c r="A5" s="24" t="s">
        <v>157</v>
      </c>
      <c r="B5" s="18" t="n">
        <v>0</v>
      </c>
      <c r="C5" s="18" t="n">
        <f aca="false">INDEX(月次シミュレーション!$D$6:$D$41,12)</f>
        <v>18</v>
      </c>
      <c r="D5" s="18" t="n">
        <f aca="false">INDEX(月次シミュレーション!$D$6:$D$41,24)</f>
        <v>18</v>
      </c>
      <c r="E5" s="18" t="n">
        <f aca="false">INDEX(月次シミュレーション!$D$6:$D$41,36)</f>
        <v>18</v>
      </c>
      <c r="F5" s="18" t="n">
        <f aca="false">E5</f>
        <v>18</v>
      </c>
    </row>
    <row r="6" customFormat="false" ht="15" hidden="false" customHeight="false" outlineLevel="0" collapsed="false">
      <c r="A6" s="24" t="s">
        <v>128</v>
      </c>
      <c r="B6" s="25" t="n">
        <v>0</v>
      </c>
      <c r="C6" s="25" t="n">
        <f aca="false">SUMIFS(月次シミュレーション!$E$6:$E$41,月次シミュレーション!$C$6:$C$41,1)</f>
        <v>3058</v>
      </c>
      <c r="D6" s="25" t="n">
        <f aca="false">SUMIFS(月次シミュレーション!$E$6:$E$41,月次シミュレーション!$C$6:$C$41,2)</f>
        <v>4752</v>
      </c>
      <c r="E6" s="25" t="n">
        <f aca="false">SUMIFS(月次シミュレーション!$E$6:$E$41,月次シミュレーション!$C$6:$C$41,3)</f>
        <v>4752</v>
      </c>
      <c r="F6" s="25" t="n">
        <f aca="false">SUM(B6:E6)</f>
        <v>12562</v>
      </c>
    </row>
    <row r="7" customFormat="false" ht="15" hidden="false" customHeight="false" outlineLevel="0" collapsed="false">
      <c r="A7" s="24" t="s">
        <v>131</v>
      </c>
      <c r="B7" s="25" t="n">
        <v>0</v>
      </c>
      <c r="C7" s="25" t="n">
        <f aca="false">SUMIFS(月次シミュレーション!$H$6:$H$41,月次シミュレーション!$C$6:$C$41,1)</f>
        <v>20251054.56</v>
      </c>
      <c r="D7" s="25" t="n">
        <f aca="false">SUMIFS(月次シミュレーション!$H$6:$H$41,月次シミュレーション!$C$6:$C$41,2)</f>
        <v>31469264.64</v>
      </c>
      <c r="E7" s="25" t="n">
        <f aca="false">SUMIFS(月次シミュレーション!$H$6:$H$41,月次シミュレーション!$C$6:$C$41,3)</f>
        <v>32872055.04</v>
      </c>
      <c r="F7" s="25" t="n">
        <f aca="false">SUM(B7:E7)</f>
        <v>84592374.24</v>
      </c>
    </row>
    <row r="8" customFormat="false" ht="15" hidden="false" customHeight="false" outlineLevel="0" collapsed="false">
      <c r="A8" s="24" t="s">
        <v>132</v>
      </c>
      <c r="B8" s="25" t="n">
        <v>0</v>
      </c>
      <c r="C8" s="25" t="n">
        <f aca="false">SUMIFS(月次シミュレーション!$I$6:$I$41,月次シミュレーション!$C$6:$C$41,1)</f>
        <v>1541232</v>
      </c>
      <c r="D8" s="25" t="n">
        <f aca="false">SUMIFS(月次シミュレーション!$I$6:$I$41,月次シミュレーション!$C$6:$C$41,2)</f>
        <v>2395008</v>
      </c>
      <c r="E8" s="25" t="n">
        <f aca="false">SUMIFS(月次シミュレーション!$I$6:$I$41,月次シミュレーション!$C$6:$C$41,3)</f>
        <v>2395008</v>
      </c>
      <c r="F8" s="25" t="n">
        <f aca="false">SUM(B8:E8)</f>
        <v>6331248</v>
      </c>
    </row>
    <row r="9" customFormat="false" ht="15" hidden="false" customHeight="false" outlineLevel="0" collapsed="false">
      <c r="A9" s="24" t="s">
        <v>133</v>
      </c>
      <c r="B9" s="25" t="n">
        <v>0</v>
      </c>
      <c r="C9" s="25" t="n">
        <f aca="false">SUMIFS(月次シミュレーション!$J$6:$J$41,月次シミュレーション!$C$6:$C$41,1)</f>
        <v>2026682.65008</v>
      </c>
      <c r="D9" s="25" t="n">
        <f aca="false">SUMIFS(月次シミュレーション!$J$6:$J$41,月次シミュレーション!$C$6:$C$41,2)</f>
        <v>3149377.35552</v>
      </c>
      <c r="E9" s="25" t="n">
        <f aca="false">SUMIFS(月次シミュレーション!$J$6:$J$41,月次シミュレーション!$C$6:$C$41,3)</f>
        <v>3279836.86272</v>
      </c>
      <c r="F9" s="25" t="n">
        <f aca="false">SUM(B9:E9)</f>
        <v>8455896.86832</v>
      </c>
    </row>
    <row r="10" customFormat="false" ht="15" hidden="false" customHeight="false" outlineLevel="0" collapsed="false">
      <c r="A10" s="32" t="s">
        <v>134</v>
      </c>
      <c r="B10" s="33" t="n">
        <v>0</v>
      </c>
      <c r="C10" s="33" t="n">
        <f aca="false">SUMIFS(月次シミュレーション!$K$6:$K$41,月次シミュレーション!$C$6:$C$41,1)</f>
        <v>23818969.21008</v>
      </c>
      <c r="D10" s="33" t="n">
        <f aca="false">SUMIFS(月次シミュレーション!$K$6:$K$41,月次シミュレーション!$C$6:$C$41,2)</f>
        <v>37013649.99552</v>
      </c>
      <c r="E10" s="33" t="n">
        <f aca="false">SUMIFS(月次シミュレーション!$K$6:$K$41,月次シミュレーション!$C$6:$C$41,3)</f>
        <v>38546899.90272</v>
      </c>
      <c r="F10" s="33" t="n">
        <f aca="false">SUM(B10:E10)</f>
        <v>99379519.10832</v>
      </c>
    </row>
    <row r="11" customFormat="false" ht="15" hidden="false" customHeight="false" outlineLevel="0" collapsed="false">
      <c r="A11" s="24" t="s">
        <v>158</v>
      </c>
      <c r="B11" s="25" t="n">
        <v>0</v>
      </c>
      <c r="C11" s="25" t="n">
        <f aca="false">SUMIFS(月次シミュレーション!$M$6:$M$41,月次シミュレーション!$C$6:$C$41,1)+SUMIFS(月次シミュレーション!$N$6:$N$41,月次シミュレーション!$C$6:$C$41,1)</f>
        <v>16933307.65008</v>
      </c>
      <c r="D11" s="25" t="n">
        <f aca="false">SUMIFS(月次シミュレーション!$M$6:$M$41,月次シミュレーション!$C$6:$C$41,2)+SUMIFS(月次シミュレーション!$N$6:$N$41,月次シミュレーション!$C$6:$C$41,2)</f>
        <v>20370377.35552</v>
      </c>
      <c r="E11" s="25" t="n">
        <f aca="false">SUMIFS(月次シミュレーション!$M$6:$M$41,月次シミュレーション!$C$6:$C$41,3)+SUMIFS(月次シミュレーション!$N$6:$N$41,月次シミュレーション!$C$6:$C$41,3)</f>
        <v>20500836.86272</v>
      </c>
      <c r="F11" s="25" t="n">
        <f aca="false">SUM(B11:E11)</f>
        <v>57804521.86832</v>
      </c>
    </row>
    <row r="12" customFormat="false" ht="15" hidden="false" customHeight="false" outlineLevel="0" collapsed="false">
      <c r="A12" s="24" t="s">
        <v>138</v>
      </c>
      <c r="B12" s="25" t="n">
        <v>0</v>
      </c>
      <c r="C12" s="25" t="n">
        <f aca="false">SUMIFS(月次シミュレーション!$O$6:$O$41,月次シミュレーション!$C$6:$C$41,1)</f>
        <v>3720000</v>
      </c>
      <c r="D12" s="25" t="n">
        <f aca="false">SUMIFS(月次シミュレーション!$O$6:$O$41,月次シミュレーション!$C$6:$C$41,2)</f>
        <v>3720000</v>
      </c>
      <c r="E12" s="25" t="n">
        <f aca="false">SUMIFS(月次シミュレーション!$O$6:$O$41,月次シミュレーション!$C$6:$C$41,3)</f>
        <v>3720000</v>
      </c>
      <c r="F12" s="25" t="n">
        <f aca="false">SUM(B12:E12)</f>
        <v>11160000</v>
      </c>
    </row>
    <row r="13" customFormat="false" ht="15" hidden="false" customHeight="false" outlineLevel="0" collapsed="false">
      <c r="A13" s="24" t="s">
        <v>139</v>
      </c>
      <c r="B13" s="25" t="n">
        <v>0</v>
      </c>
      <c r="C13" s="25" t="n">
        <f aca="false">SUMIFS(月次シミュレーション!$P$6:$P$41,月次シミュレーション!$C$6:$C$41,1)</f>
        <v>611600</v>
      </c>
      <c r="D13" s="25" t="n">
        <f aca="false">SUMIFS(月次シミュレーション!$P$6:$P$41,月次シミュレーション!$C$6:$C$41,2)</f>
        <v>950400</v>
      </c>
      <c r="E13" s="25" t="n">
        <f aca="false">SUMIFS(月次シミュレーション!$P$6:$P$41,月次シミュレーション!$C$6:$C$41,3)</f>
        <v>950400</v>
      </c>
      <c r="F13" s="25" t="n">
        <f aca="false">SUM(B13:E13)</f>
        <v>2512400</v>
      </c>
    </row>
    <row r="14" customFormat="false" ht="15" hidden="false" customHeight="false" outlineLevel="0" collapsed="false">
      <c r="A14" s="24" t="s">
        <v>140</v>
      </c>
      <c r="B14" s="25" t="n">
        <v>0</v>
      </c>
      <c r="C14" s="25" t="n">
        <f aca="false">SUMIFS(月次シミュレーション!$Q$6:$Q$41,月次シミュレーション!$C$6:$C$41,1)</f>
        <v>714569.0763024</v>
      </c>
      <c r="D14" s="25" t="n">
        <f aca="false">SUMIFS(月次シミュレーション!$Q$6:$Q$41,月次シミュレーション!$C$6:$C$41,2)</f>
        <v>1110409.4998656</v>
      </c>
      <c r="E14" s="25" t="n">
        <f aca="false">SUMIFS(月次シミュレーション!$Q$6:$Q$41,月次シミュレーション!$C$6:$C$41,3)</f>
        <v>1156406.9970816</v>
      </c>
      <c r="F14" s="25" t="n">
        <f aca="false">SUM(B14:E14)</f>
        <v>2981385.5732496</v>
      </c>
    </row>
    <row r="15" customFormat="false" ht="15" hidden="false" customHeight="false" outlineLevel="0" collapsed="false">
      <c r="A15" s="24" t="s">
        <v>141</v>
      </c>
      <c r="B15" s="25" t="n">
        <v>0</v>
      </c>
      <c r="C15" s="25" t="n">
        <f aca="false">SUMIFS(月次シミュレーション!$R$6:$R$41,月次シミュレーション!$C$6:$C$41,1)</f>
        <v>800000</v>
      </c>
      <c r="D15" s="25" t="n">
        <f aca="false">SUMIFS(月次シミュレーション!$R$6:$R$41,月次シミュレーション!$C$6:$C$41,2)</f>
        <v>800000</v>
      </c>
      <c r="E15" s="25" t="n">
        <f aca="false">SUMIFS(月次シミュレーション!$R$6:$R$41,月次シミュレーション!$C$6:$C$41,3)</f>
        <v>800000</v>
      </c>
      <c r="F15" s="25" t="n">
        <f aca="false">SUM(B15:E15)</f>
        <v>2400000</v>
      </c>
    </row>
    <row r="16" customFormat="false" ht="15" hidden="false" customHeight="false" outlineLevel="0" collapsed="false">
      <c r="A16" s="24" t="s">
        <v>159</v>
      </c>
      <c r="B16" s="25" t="n">
        <f aca="false">前提条件!$B$38</f>
        <v>2000000</v>
      </c>
      <c r="C16" s="25" t="n">
        <v>0</v>
      </c>
      <c r="D16" s="25" t="n">
        <v>0</v>
      </c>
      <c r="E16" s="25" t="n">
        <v>0</v>
      </c>
      <c r="F16" s="25" t="n">
        <f aca="false">SUM(B16:E16)</f>
        <v>2000000</v>
      </c>
    </row>
    <row r="17" customFormat="false" ht="15" hidden="false" customHeight="false" outlineLevel="0" collapsed="false">
      <c r="A17" s="32" t="s">
        <v>142</v>
      </c>
      <c r="B17" s="33" t="n">
        <f aca="false">SUM(B11:B16)</f>
        <v>2000000</v>
      </c>
      <c r="C17" s="33" t="n">
        <f aca="false">SUM(C11:C16)</f>
        <v>22779476.7263824</v>
      </c>
      <c r="D17" s="33" t="n">
        <f aca="false">SUM(D11:D16)</f>
        <v>26951186.8553856</v>
      </c>
      <c r="E17" s="33" t="n">
        <f aca="false">SUM(E11:E16)</f>
        <v>27127643.8598016</v>
      </c>
      <c r="F17" s="33" t="n">
        <f aca="false">SUM(B17:E17)</f>
        <v>78858307.4415696</v>
      </c>
    </row>
    <row r="18" customFormat="false" ht="15" hidden="false" customHeight="false" outlineLevel="0" collapsed="false">
      <c r="A18" s="32" t="s">
        <v>143</v>
      </c>
      <c r="B18" s="33" t="n">
        <f aca="false">B10-B17</f>
        <v>-2000000</v>
      </c>
      <c r="C18" s="33" t="n">
        <f aca="false">C10-C17</f>
        <v>1039492.4836976</v>
      </c>
      <c r="D18" s="33" t="n">
        <f aca="false">D10-D17</f>
        <v>10062463.1401344</v>
      </c>
      <c r="E18" s="33" t="n">
        <f aca="false">E10-E17</f>
        <v>11419256.0429184</v>
      </c>
      <c r="F18" s="33" t="n">
        <f aca="false">SUM(B18:E18)</f>
        <v>20521211.6667504</v>
      </c>
    </row>
    <row r="19" customFormat="false" ht="15" hidden="false" customHeight="false" outlineLevel="0" collapsed="false">
      <c r="A19" s="24" t="s">
        <v>160</v>
      </c>
      <c r="B19" s="34" t="n">
        <f aca="false">IF(B10=0,0,B18/B10)</f>
        <v>0</v>
      </c>
      <c r="C19" s="34" t="n">
        <f aca="false">IF(C10=0,0,C18/C10)</f>
        <v>0.0436413714854502</v>
      </c>
      <c r="D19" s="34" t="n">
        <f aca="false">IF(D10=0,0,D18/D10)</f>
        <v>0.271858169657743</v>
      </c>
      <c r="E19" s="34" t="n">
        <f aca="false">IF(E10=0,0,E18/E10)</f>
        <v>0.296243175760877</v>
      </c>
      <c r="F19" s="34" t="n">
        <f aca="false">IF(F10=0,0,F18/F10)</f>
        <v>0.206493368562018</v>
      </c>
    </row>
    <row r="20" customFormat="false" ht="15" hidden="false" customHeight="false" outlineLevel="0" collapsed="false">
      <c r="A20" s="32" t="s">
        <v>161</v>
      </c>
      <c r="B20" s="33" t="n">
        <f aca="false">月次シミュレーション!$Y$5</f>
        <v>-9000000</v>
      </c>
      <c r="C20" s="33" t="n">
        <f aca="false">INDEX(月次シミュレーション!$Y$6:$Y$41,12)</f>
        <v>-13158089.6915024</v>
      </c>
      <c r="D20" s="33" t="n">
        <f aca="false">INDEX(月次シミュレーション!$Y$6:$Y$41,24)</f>
        <v>-2466986.042088</v>
      </c>
      <c r="E20" s="33" t="n">
        <f aca="false">INDEX(月次シミュレーション!$Y$6:$Y$41,36)</f>
        <v>9496728.3496304</v>
      </c>
      <c r="F20" s="33" t="n">
        <f aca="false">E20</f>
        <v>9496728.3496304</v>
      </c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</row>
    <row r="22" customFormat="false" ht="15" hidden="false" customHeight="false" outlineLevel="0" collapsed="false">
      <c r="A22" s="16" t="s">
        <v>162</v>
      </c>
      <c r="B22" s="7"/>
      <c r="C22" s="7"/>
      <c r="D22" s="7"/>
      <c r="E22" s="7"/>
      <c r="F22" s="7"/>
    </row>
    <row r="23" customFormat="false" ht="15" hidden="false" customHeight="false" outlineLevel="0" collapsed="false">
      <c r="A23" s="7" t="s">
        <v>163</v>
      </c>
      <c r="B23" s="35" t="str">
        <f aca="false">IFERROR(MATCH(1,月次シミュレーション!$Z$6:$Z$41,0)&amp;"か月目","36か月内は未達")</f>
        <v>6か月目</v>
      </c>
      <c r="C23" s="7"/>
      <c r="D23" s="7"/>
      <c r="E23" s="7"/>
      <c r="F23" s="7"/>
    </row>
    <row r="24" customFormat="false" ht="15" hidden="false" customHeight="false" outlineLevel="0" collapsed="false">
      <c r="A24" s="7" t="s">
        <v>164</v>
      </c>
      <c r="B24" s="36" t="n">
        <f aca="false">IFERROR(INDEX(月次シミュレーション!$B$6:$B$41,MATCH(1,月次シミュレーション!$Z$6:$Z$41,0)),"-")</f>
        <v>46631</v>
      </c>
      <c r="C24" s="7"/>
      <c r="D24" s="7"/>
      <c r="E24" s="7"/>
      <c r="F24" s="7"/>
    </row>
    <row r="25" customFormat="false" ht="15" hidden="false" customHeight="false" outlineLevel="0" collapsed="false">
      <c r="A25" s="7" t="s">
        <v>165</v>
      </c>
      <c r="B25" s="35" t="str">
        <f aca="false">IFERROR(MATCH(1,月次シミュレーション!$AA$6:$AA$41,0)&amp;"か月目","36か月内は未達")</f>
        <v>27か月目</v>
      </c>
      <c r="C25" s="7"/>
      <c r="D25" s="7"/>
      <c r="E25" s="7"/>
      <c r="F25" s="7"/>
    </row>
    <row r="26" customFormat="false" ht="15" hidden="false" customHeight="false" outlineLevel="0" collapsed="false">
      <c r="A26" s="7" t="s">
        <v>166</v>
      </c>
      <c r="B26" s="37" t="n">
        <f aca="false">MIN(月次シミュレーション!$Y$5:$Y$41)</f>
        <v>-14350650.7072751</v>
      </c>
      <c r="C26" s="7"/>
      <c r="D26" s="7"/>
      <c r="E26" s="7"/>
      <c r="F26" s="7"/>
    </row>
    <row r="27" customFormat="false" ht="15" hidden="false" customHeight="false" outlineLevel="0" collapsed="false">
      <c r="A27" s="7" t="s">
        <v>167</v>
      </c>
      <c r="B27" s="37" t="n">
        <f aca="false">前提条件!$B$36+前提条件!$B$37+前提条件!$B$38+前提条件!$B$39</f>
        <v>9000000</v>
      </c>
      <c r="C27" s="7"/>
      <c r="D27" s="7"/>
      <c r="E27" s="7"/>
      <c r="F27" s="7"/>
    </row>
  </sheetData>
  <conditionalFormatting sqref="B18:F20">
    <cfRule type="cellIs" priority="2" operator="less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6" min="2" style="0" width="17"/>
  </cols>
  <sheetData>
    <row r="1" customFormat="false" ht="17.35" hidden="false" customHeight="false" outlineLevel="0" collapsed="false">
      <c r="A1" s="5" t="s">
        <v>168</v>
      </c>
      <c r="B1" s="7"/>
      <c r="C1" s="7"/>
      <c r="D1" s="7"/>
      <c r="E1" s="7"/>
      <c r="F1" s="7"/>
    </row>
    <row r="2" customFormat="false" ht="15" hidden="false" customHeight="false" outlineLevel="0" collapsed="false">
      <c r="A2" s="7" t="s">
        <v>169</v>
      </c>
      <c r="B2" s="7"/>
      <c r="C2" s="7"/>
      <c r="D2" s="7"/>
      <c r="E2" s="7"/>
      <c r="F2" s="7"/>
    </row>
    <row r="3" customFormat="false" ht="15" hidden="false" customHeight="false" outlineLevel="0" collapsed="false">
      <c r="A3" s="7"/>
      <c r="B3" s="38" t="s">
        <v>170</v>
      </c>
      <c r="C3" s="38" t="s">
        <v>171</v>
      </c>
      <c r="D3" s="38" t="s">
        <v>172</v>
      </c>
      <c r="E3" s="38" t="s">
        <v>173</v>
      </c>
      <c r="F3" s="38" t="s">
        <v>174</v>
      </c>
    </row>
    <row r="4" customFormat="false" ht="14.9" hidden="false" customHeight="false" outlineLevel="0" collapsed="false">
      <c r="A4" s="39" t="s">
        <v>175</v>
      </c>
      <c r="B4" s="40" t="n">
        <v>673</v>
      </c>
      <c r="C4" s="40" t="n">
        <v>703</v>
      </c>
      <c r="D4" s="40" t="n">
        <v>726</v>
      </c>
      <c r="E4" s="40" t="n">
        <v>738</v>
      </c>
      <c r="F4" s="40" t="n">
        <v>758</v>
      </c>
    </row>
    <row r="5" customFormat="false" ht="15" hidden="false" customHeight="false" outlineLevel="0" collapsed="false">
      <c r="A5" s="41" t="n">
        <v>10</v>
      </c>
      <c r="B5" s="25" t="n">
        <f aca="false">12*(($A5*前提条件!$B$9*(B$4*前提条件!$B$13+前提条件!$B$14*2*前提条件!$B$15+前提条件!$B$16*前提条件!$B$17+前提条件!$B$18)*前提条件!$B$10)-(((前提条件!$B$21+MAX(前提条件!$B$24,CEILING($A5/前提条件!$B$23,0.5))*前提条件!$B$22)*(12+前提条件!$B$25)/12*(1+前提条件!$B$26)+前提条件!$B$27)+前提条件!$B$29+前提条件!$B$30+前提条件!$B$31+前提条件!$B$32+$A5*前提条件!$B$9*前提条件!$B$33+($A5*前提条件!$B$9*(B$4*前提条件!$B$13+前提条件!$B$14*2*前提条件!$B$15+前提条件!$B$16*前提条件!$B$17+前提条件!$B$18)*前提条件!$B$10)*(1+前提条件!$B$19)*前提条件!$B$34+前提条件!$B$36/120+前提条件!$B$37/60))</f>
        <v>-369409.366592003</v>
      </c>
      <c r="C5" s="25" t="n">
        <f aca="false">12*(($A5*前提条件!$B$9*(C$4*前提条件!$B$13+前提条件!$B$14*2*前提条件!$B$15+前提条件!$B$16*前提条件!$B$17+前提条件!$B$18)*前提条件!$B$10)-(((前提条件!$B$21+MAX(前提条件!$B$24,CEILING($A5/前提条件!$B$23,0.5))*前提条件!$B$22)*(12+前提条件!$B$25)/12*(1+前提条件!$B$26)+前提条件!$B$27)+前提条件!$B$29+前提条件!$B$30+前提条件!$B$31+前提条件!$B$32+$A5*前提条件!$B$9*前提条件!$B$33+($A5*前提条件!$B$9*(C$4*前提条件!$B$13+前提条件!$B$14*2*前提条件!$B$15+前提条件!$B$16*前提条件!$B$17+前提条件!$B$18)*前提条件!$B$10)*(1+前提条件!$B$19)*前提条件!$B$34+前提条件!$B$36/120+前提条件!$B$37/60))</f>
        <v>384364.468287994</v>
      </c>
      <c r="D5" s="25" t="n">
        <f aca="false">12*(($A5*前提条件!$B$9*(D$4*前提条件!$B$13+前提条件!$B$14*2*前提条件!$B$15+前提条件!$B$16*前提条件!$B$17+前提条件!$B$18)*前提条件!$B$10)-(((前提条件!$B$21+MAX(前提条件!$B$24,CEILING($A5/前提条件!$B$23,0.5))*前提条件!$B$22)*(12+前提条件!$B$25)/12*(1+前提条件!$B$26)+前提条件!$B$27)+前提条件!$B$29+前提条件!$B$30+前提条件!$B$31+前提条件!$B$32+$A5*前提条件!$B$9*前提条件!$B$33+($A5*前提条件!$B$9*(D$4*前提条件!$B$13+前提条件!$B$14*2*前提条件!$B$15+前提条件!$B$16*前提条件!$B$17+前提条件!$B$18)*前提条件!$B$10)*(1+前提条件!$B$19)*前提条件!$B$34+前提条件!$B$36/120+前提条件!$B$37/60))</f>
        <v>962257.741696</v>
      </c>
      <c r="E5" s="25" t="n">
        <f aca="false">12*(($A5*前提条件!$B$9*(E$4*前提条件!$B$13+前提条件!$B$14*2*前提条件!$B$15+前提条件!$B$16*前提条件!$B$17+前提条件!$B$18)*前提条件!$B$10)-(((前提条件!$B$21+MAX(前提条件!$B$24,CEILING($A5/前提条件!$B$23,0.5))*前提条件!$B$22)*(12+前提条件!$B$25)/12*(1+前提条件!$B$26)+前提条件!$B$27)+前提条件!$B$29+前提条件!$B$30+前提条件!$B$31+前提条件!$B$32+$A5*前提条件!$B$9*前提条件!$B$33+($A5*前提条件!$B$9*(E$4*前提条件!$B$13+前提条件!$B$14*2*前提条件!$B$15+前提条件!$B$16*前提条件!$B$17+前提条件!$B$18)*前提条件!$B$10)*(1+前提条件!$B$19)*前提条件!$B$34+前提条件!$B$36/120+前提条件!$B$37/60))</f>
        <v>1263767.275648</v>
      </c>
      <c r="F5" s="25" t="n">
        <f aca="false">12*(($A5*前提条件!$B$9*(F$4*前提条件!$B$13+前提条件!$B$14*2*前提条件!$B$15+前提条件!$B$16*前提条件!$B$17+前提条件!$B$18)*前提条件!$B$10)-(((前提条件!$B$21+MAX(前提条件!$B$24,CEILING($A5/前提条件!$B$23,0.5))*前提条件!$B$22)*(12+前提条件!$B$25)/12*(1+前提条件!$B$26)+前提条件!$B$27)+前提条件!$B$29+前提条件!$B$30+前提条件!$B$31+前提条件!$B$32+$A5*前提条件!$B$9*前提条件!$B$33+($A5*前提条件!$B$9*(F$4*前提条件!$B$13+前提条件!$B$14*2*前提条件!$B$15+前提条件!$B$16*前提条件!$B$17+前提条件!$B$18)*前提条件!$B$10)*(1+前提条件!$B$19)*前提条件!$B$34+前提条件!$B$36/120+前提条件!$B$37/60))</f>
        <v>1766283.165568</v>
      </c>
    </row>
    <row r="6" customFormat="false" ht="15" hidden="false" customHeight="false" outlineLevel="0" collapsed="false">
      <c r="A6" s="41" t="n">
        <v>11</v>
      </c>
      <c r="B6" s="25" t="n">
        <f aca="false">12*(($A6*前提条件!$B$9*(B$4*前提条件!$B$13+前提条件!$B$14*2*前提条件!$B$15+前提条件!$B$16*前提条件!$B$17+前提条件!$B$18)*前提条件!$B$10)-(((前提条件!$B$21+MAX(前提条件!$B$24,CEILING($A6/前提条件!$B$23,0.5))*前提条件!$B$22)*(12+前提条件!$B$25)/12*(1+前提条件!$B$26)+前提条件!$B$27)+前提条件!$B$29+前提条件!$B$30+前提条件!$B$31+前提条件!$B$32+$A6*前提条件!$B$9*前提条件!$B$33+($A6*前提条件!$B$9*(B$4*前提条件!$B$13+前提条件!$B$14*2*前提条件!$B$15+前提条件!$B$16*前提条件!$B$17+前提条件!$B$18)*前提条件!$B$10)*(1+前提条件!$B$19)*前提条件!$B$34+前提条件!$B$36/120+前提条件!$B$37/60))</f>
        <v>1397449.6967488</v>
      </c>
      <c r="C6" s="25" t="n">
        <f aca="false">12*(($A6*前提条件!$B$9*(C$4*前提条件!$B$13+前提条件!$B$14*2*前提条件!$B$15+前提条件!$B$16*前提条件!$B$17+前提条件!$B$18)*前提条件!$B$10)-(((前提条件!$B$21+MAX(前提条件!$B$24,CEILING($A6/前提条件!$B$23,0.5))*前提条件!$B$22)*(12+前提条件!$B$25)/12*(1+前提条件!$B$26)+前提条件!$B$27)+前提条件!$B$29+前提条件!$B$30+前提条件!$B$31+前提条件!$B$32+$A6*前提条件!$B$9*前提条件!$B$33+($A6*前提条件!$B$9*(C$4*前提条件!$B$13+前提条件!$B$14*2*前提条件!$B$15+前提条件!$B$16*前提条件!$B$17+前提条件!$B$18)*前提条件!$B$10)*(1+前提条件!$B$19)*前提条件!$B$34+前提条件!$B$36/120+前提条件!$B$37/60))</f>
        <v>2226600.9151168</v>
      </c>
      <c r="D6" s="25" t="n">
        <f aca="false">12*(($A6*前提条件!$B$9*(D$4*前提条件!$B$13+前提条件!$B$14*2*前提条件!$B$15+前提条件!$B$16*前提条件!$B$17+前提条件!$B$18)*前提条件!$B$10)-(((前提条件!$B$21+MAX(前提条件!$B$24,CEILING($A6/前提条件!$B$23,0.5))*前提条件!$B$22)*(12+前提条件!$B$25)/12*(1+前提条件!$B$26)+前提条件!$B$27)+前提条件!$B$29+前提条件!$B$30+前提条件!$B$31+前提条件!$B$32+$A6*前提条件!$B$9*前提条件!$B$33+($A6*前提条件!$B$9*(D$4*前提条件!$B$13+前提条件!$B$14*2*前提条件!$B$15+前提条件!$B$16*前提条件!$B$17+前提条件!$B$18)*前提条件!$B$10)*(1+前提条件!$B$19)*前提条件!$B$34+前提条件!$B$36/120+前提条件!$B$37/60))</f>
        <v>2862283.5158656</v>
      </c>
      <c r="E6" s="25" t="n">
        <f aca="false">12*(($A6*前提条件!$B$9*(E$4*前提条件!$B$13+前提条件!$B$14*2*前提条件!$B$15+前提条件!$B$16*前提条件!$B$17+前提条件!$B$18)*前提条件!$B$10)-(((前提条件!$B$21+MAX(前提条件!$B$24,CEILING($A6/前提条件!$B$23,0.5))*前提条件!$B$22)*(12+前提条件!$B$25)/12*(1+前提条件!$B$26)+前提条件!$B$27)+前提条件!$B$29+前提条件!$B$30+前提条件!$B$31+前提条件!$B$32+$A6*前提条件!$B$9*前提条件!$B$33+($A6*前提条件!$B$9*(E$4*前提条件!$B$13+前提条件!$B$14*2*前提条件!$B$15+前提条件!$B$16*前提条件!$B$17+前提条件!$B$18)*前提条件!$B$10)*(1+前提条件!$B$19)*前提条件!$B$34+前提条件!$B$36/120+前提条件!$B$37/60))</f>
        <v>3193944.0032128</v>
      </c>
      <c r="F6" s="25" t="n">
        <f aca="false">12*(($A6*前提条件!$B$9*(F$4*前提条件!$B$13+前提条件!$B$14*2*前提条件!$B$15+前提条件!$B$16*前提条件!$B$17+前提条件!$B$18)*前提条件!$B$10)-(((前提条件!$B$21+MAX(前提条件!$B$24,CEILING($A6/前提条件!$B$23,0.5))*前提条件!$B$22)*(12+前提条件!$B$25)/12*(1+前提条件!$B$26)+前提条件!$B$27)+前提条件!$B$29+前提条件!$B$30+前提条件!$B$31+前提条件!$B$32+$A6*前提条件!$B$9*前提条件!$B$33+($A6*前提条件!$B$9*(F$4*前提条件!$B$13+前提条件!$B$14*2*前提条件!$B$15+前提条件!$B$16*前提条件!$B$17+前提条件!$B$18)*前提条件!$B$10)*(1+前提条件!$B$19)*前提条件!$B$34+前提条件!$B$36/120+前提条件!$B$37/60))</f>
        <v>3746711.4821248</v>
      </c>
    </row>
    <row r="7" customFormat="false" ht="15" hidden="false" customHeight="false" outlineLevel="0" collapsed="false">
      <c r="A7" s="41" t="n">
        <v>12</v>
      </c>
      <c r="B7" s="25" t="n">
        <f aca="false">12*(($A7*前提条件!$B$9*(B$4*前提条件!$B$13+前提条件!$B$14*2*前提条件!$B$15+前提条件!$B$16*前提条件!$B$17+前提条件!$B$18)*前提条件!$B$10)-(((前提条件!$B$21+MAX(前提条件!$B$24,CEILING($A7/前提条件!$B$23,0.5))*前提条件!$B$22)*(12+前提条件!$B$25)/12*(1+前提条件!$B$26)+前提条件!$B$27)+前提条件!$B$29+前提条件!$B$30+前提条件!$B$31+前提条件!$B$32+$A7*前提条件!$B$9*前提条件!$B$33+($A7*前提条件!$B$9*(B$4*前提条件!$B$13+前提条件!$B$14*2*前提条件!$B$15+前提条件!$B$16*前提条件!$B$17+前提条件!$B$18)*前提条件!$B$10)*(1+前提条件!$B$19)*前提条件!$B$34+前提条件!$B$36/120+前提条件!$B$37/60))</f>
        <v>3164308.7600896</v>
      </c>
      <c r="C7" s="25" t="n">
        <f aca="false">12*(($A7*前提条件!$B$9*(C$4*前提条件!$B$13+前提条件!$B$14*2*前提条件!$B$15+前提条件!$B$16*前提条件!$B$17+前提条件!$B$18)*前提条件!$B$10)-(((前提条件!$B$21+MAX(前提条件!$B$24,CEILING($A7/前提条件!$B$23,0.5))*前提条件!$B$22)*(12+前提条件!$B$25)/12*(1+前提条件!$B$26)+前提条件!$B$27)+前提条件!$B$29+前提条件!$B$30+前提条件!$B$31+前提条件!$B$32+$A7*前提条件!$B$9*前提条件!$B$33+($A7*前提条件!$B$9*(C$4*前提条件!$B$13+前提条件!$B$14*2*前提条件!$B$15+前提条件!$B$16*前提条件!$B$17+前提条件!$B$18)*前提条件!$B$10)*(1+前提条件!$B$19)*前提条件!$B$34+前提条件!$B$36/120+前提条件!$B$37/60))</f>
        <v>4068837.3619456</v>
      </c>
      <c r="D7" s="25" t="n">
        <f aca="false">12*(($A7*前提条件!$B$9*(D$4*前提条件!$B$13+前提条件!$B$14*2*前提条件!$B$15+前提条件!$B$16*前提条件!$B$17+前提条件!$B$18)*前提条件!$B$10)-(((前提条件!$B$21+MAX(前提条件!$B$24,CEILING($A7/前提条件!$B$23,0.5))*前提条件!$B$22)*(12+前提条件!$B$25)/12*(1+前提条件!$B$26)+前提条件!$B$27)+前提条件!$B$29+前提条件!$B$30+前提条件!$B$31+前提条件!$B$32+$A7*前提条件!$B$9*前提条件!$B$33+($A7*前提条件!$B$9*(D$4*前提条件!$B$13+前提条件!$B$14*2*前提条件!$B$15+前提条件!$B$16*前提条件!$B$17+前提条件!$B$18)*前提条件!$B$10)*(1+前提条件!$B$19)*前提条件!$B$34+前提条件!$B$36/120+前提条件!$B$37/60))</f>
        <v>4762309.2900352</v>
      </c>
      <c r="E7" s="25" t="n">
        <f aca="false">12*(($A7*前提条件!$B$9*(E$4*前提条件!$B$13+前提条件!$B$14*2*前提条件!$B$15+前提条件!$B$16*前提条件!$B$17+前提条件!$B$18)*前提条件!$B$10)-(((前提条件!$B$21+MAX(前提条件!$B$24,CEILING($A7/前提条件!$B$23,0.5))*前提条件!$B$22)*(12+前提条件!$B$25)/12*(1+前提条件!$B$26)+前提条件!$B$27)+前提条件!$B$29+前提条件!$B$30+前提条件!$B$31+前提条件!$B$32+$A7*前提条件!$B$9*前提条件!$B$33+($A7*前提条件!$B$9*(E$4*前提条件!$B$13+前提条件!$B$14*2*前提条件!$B$15+前提条件!$B$16*前提条件!$B$17+前提条件!$B$18)*前提条件!$B$10)*(1+前提条件!$B$19)*前提条件!$B$34+前提条件!$B$36/120+前提条件!$B$37/60))</f>
        <v>5124120.7307776</v>
      </c>
      <c r="F7" s="25" t="n">
        <f aca="false">12*(($A7*前提条件!$B$9*(F$4*前提条件!$B$13+前提条件!$B$14*2*前提条件!$B$15+前提条件!$B$16*前提条件!$B$17+前提条件!$B$18)*前提条件!$B$10)-(((前提条件!$B$21+MAX(前提条件!$B$24,CEILING($A7/前提条件!$B$23,0.5))*前提条件!$B$22)*(12+前提条件!$B$25)/12*(1+前提条件!$B$26)+前提条件!$B$27)+前提条件!$B$29+前提条件!$B$30+前提条件!$B$31+前提条件!$B$32+$A7*前提条件!$B$9*前提条件!$B$33+($A7*前提条件!$B$9*(F$4*前提条件!$B$13+前提条件!$B$14*2*前提条件!$B$15+前提条件!$B$16*前提条件!$B$17+前提条件!$B$18)*前提条件!$B$10)*(1+前提条件!$B$19)*前提条件!$B$34+前提条件!$B$36/120+前提条件!$B$37/60))</f>
        <v>5727139.7986816</v>
      </c>
    </row>
    <row r="8" customFormat="false" ht="15" hidden="false" customHeight="false" outlineLevel="0" collapsed="false">
      <c r="A8" s="41" t="n">
        <v>13</v>
      </c>
      <c r="B8" s="25" t="n">
        <f aca="false">12*(($A8*前提条件!$B$9*(B$4*前提条件!$B$13+前提条件!$B$14*2*前提条件!$B$15+前提条件!$B$16*前提条件!$B$17+前提条件!$B$18)*前提条件!$B$10)-(((前提条件!$B$21+MAX(前提条件!$B$24,CEILING($A8/前提条件!$B$23,0.5))*前提条件!$B$22)*(12+前提条件!$B$25)/12*(1+前提条件!$B$26)+前提条件!$B$27)+前提条件!$B$29+前提条件!$B$30+前提条件!$B$31+前提条件!$B$32+$A8*前提条件!$B$9*前提条件!$B$33+($A8*前提条件!$B$9*(B$4*前提条件!$B$13+前提条件!$B$14*2*前提条件!$B$15+前提条件!$B$16*前提条件!$B$17+前提条件!$B$18)*前提条件!$B$10)*(1+前提条件!$B$19)*前提条件!$B$34+前提条件!$B$36/120+前提条件!$B$37/60))</f>
        <v>3079667.8234304</v>
      </c>
      <c r="C8" s="25" t="n">
        <f aca="false">12*(($A8*前提条件!$B$9*(C$4*前提条件!$B$13+前提条件!$B$14*2*前提条件!$B$15+前提条件!$B$16*前提条件!$B$17+前提条件!$B$18)*前提条件!$B$10)-(((前提条件!$B$21+MAX(前提条件!$B$24,CEILING($A8/前提条件!$B$23,0.5))*前提条件!$B$22)*(12+前提条件!$B$25)/12*(1+前提条件!$B$26)+前提条件!$B$27)+前提条件!$B$29+前提条件!$B$30+前提条件!$B$31+前提条件!$B$32+$A8*前提条件!$B$9*前提条件!$B$33+($A8*前提条件!$B$9*(C$4*前提条件!$B$13+前提条件!$B$14*2*前提条件!$B$15+前提条件!$B$16*前提条件!$B$17+前提条件!$B$18)*前提条件!$B$10)*(1+前提条件!$B$19)*前提条件!$B$34+前提条件!$B$36/120+前提条件!$B$37/60))</f>
        <v>4059573.8087744</v>
      </c>
      <c r="D8" s="25" t="n">
        <f aca="false">12*(($A8*前提条件!$B$9*(D$4*前提条件!$B$13+前提条件!$B$14*2*前提条件!$B$15+前提条件!$B$16*前提条件!$B$17+前提条件!$B$18)*前提条件!$B$10)-(((前提条件!$B$21+MAX(前提条件!$B$24,CEILING($A8/前提条件!$B$23,0.5))*前提条件!$B$22)*(12+前提条件!$B$25)/12*(1+前提条件!$B$26)+前提条件!$B$27)+前提条件!$B$29+前提条件!$B$30+前提条件!$B$31+前提条件!$B$32+$A8*前提条件!$B$9*前提条件!$B$33+($A8*前提条件!$B$9*(D$4*前提条件!$B$13+前提条件!$B$14*2*前提条件!$B$15+前提条件!$B$16*前提条件!$B$17+前提条件!$B$18)*前提条件!$B$10)*(1+前提条件!$B$19)*前提条件!$B$34+前提条件!$B$36/120+前提条件!$B$37/60))</f>
        <v>4810835.0642048</v>
      </c>
      <c r="E8" s="25" t="n">
        <f aca="false">12*(($A8*前提条件!$B$9*(E$4*前提条件!$B$13+前提条件!$B$14*2*前提条件!$B$15+前提条件!$B$16*前提条件!$B$17+前提条件!$B$18)*前提条件!$B$10)-(((前提条件!$B$21+MAX(前提条件!$B$24,CEILING($A8/前提条件!$B$23,0.5))*前提条件!$B$22)*(12+前提条件!$B$25)/12*(1+前提条件!$B$26)+前提条件!$B$27)+前提条件!$B$29+前提条件!$B$30+前提条件!$B$31+前提条件!$B$32+$A8*前提条件!$B$9*前提条件!$B$33+($A8*前提条件!$B$9*(E$4*前提条件!$B$13+前提条件!$B$14*2*前提条件!$B$15+前提条件!$B$16*前提条件!$B$17+前提条件!$B$18)*前提条件!$B$10)*(1+前提条件!$B$19)*前提条件!$B$34+前提条件!$B$36/120+前提条件!$B$37/60))</f>
        <v>5202797.4583424</v>
      </c>
      <c r="F8" s="25" t="n">
        <f aca="false">12*(($A8*前提条件!$B$9*(F$4*前提条件!$B$13+前提条件!$B$14*2*前提条件!$B$15+前提条件!$B$16*前提条件!$B$17+前提条件!$B$18)*前提条件!$B$10)-(((前提条件!$B$21+MAX(前提条件!$B$24,CEILING($A8/前提条件!$B$23,0.5))*前提条件!$B$22)*(12+前提条件!$B$25)/12*(1+前提条件!$B$26)+前提条件!$B$27)+前提条件!$B$29+前提条件!$B$30+前提条件!$B$31+前提条件!$B$32+$A8*前提条件!$B$9*前提条件!$B$33+($A8*前提条件!$B$9*(F$4*前提条件!$B$13+前提条件!$B$14*2*前提条件!$B$15+前提条件!$B$16*前提条件!$B$17+前提条件!$B$18)*前提条件!$B$10)*(1+前提条件!$B$19)*前提条件!$B$34+前提条件!$B$36/120+前提条件!$B$37/60))</f>
        <v>5856068.1152384</v>
      </c>
    </row>
    <row r="9" customFormat="false" ht="15" hidden="false" customHeight="false" outlineLevel="0" collapsed="false">
      <c r="A9" s="41" t="n">
        <v>14</v>
      </c>
      <c r="B9" s="25" t="n">
        <f aca="false">12*(($A9*前提条件!$B$9*(B$4*前提条件!$B$13+前提条件!$B$14*2*前提条件!$B$15+前提条件!$B$16*前提条件!$B$17+前提条件!$B$18)*前提条件!$B$10)-(((前提条件!$B$21+MAX(前提条件!$B$24,CEILING($A9/前提条件!$B$23,0.5))*前提条件!$B$22)*(12+前提条件!$B$25)/12*(1+前提条件!$B$26)+前提条件!$B$27)+前提条件!$B$29+前提条件!$B$30+前提条件!$B$31+前提条件!$B$32+$A9*前提条件!$B$9*前提条件!$B$33+($A9*前提条件!$B$9*(B$4*前提条件!$B$13+前提条件!$B$14*2*前提条件!$B$15+前提条件!$B$16*前提条件!$B$17+前提条件!$B$18)*前提条件!$B$10)*(1+前提条件!$B$19)*前提条件!$B$34+前提条件!$B$36/120+前提条件!$B$37/60))</f>
        <v>4846526.8867712</v>
      </c>
      <c r="C9" s="25" t="n">
        <f aca="false">12*(($A9*前提条件!$B$9*(C$4*前提条件!$B$13+前提条件!$B$14*2*前提条件!$B$15+前提条件!$B$16*前提条件!$B$17+前提条件!$B$18)*前提条件!$B$10)-(((前提条件!$B$21+MAX(前提条件!$B$24,CEILING($A9/前提条件!$B$23,0.5))*前提条件!$B$22)*(12+前提条件!$B$25)/12*(1+前提条件!$B$26)+前提条件!$B$27)+前提条件!$B$29+前提条件!$B$30+前提条件!$B$31+前提条件!$B$32+$A9*前提条件!$B$9*前提条件!$B$33+($A9*前提条件!$B$9*(C$4*前提条件!$B$13+前提条件!$B$14*2*前提条件!$B$15+前提条件!$B$16*前提条件!$B$17+前提条件!$B$18)*前提条件!$B$10)*(1+前提条件!$B$19)*前提条件!$B$34+前提条件!$B$36/120+前提条件!$B$37/60))</f>
        <v>5901810.2556032</v>
      </c>
      <c r="D9" s="25" t="n">
        <f aca="false">12*(($A9*前提条件!$B$9*(D$4*前提条件!$B$13+前提条件!$B$14*2*前提条件!$B$15+前提条件!$B$16*前提条件!$B$17+前提条件!$B$18)*前提条件!$B$10)-(((前提条件!$B$21+MAX(前提条件!$B$24,CEILING($A9/前提条件!$B$23,0.5))*前提条件!$B$22)*(12+前提条件!$B$25)/12*(1+前提条件!$B$26)+前提条件!$B$27)+前提条件!$B$29+前提条件!$B$30+前提条件!$B$31+前提条件!$B$32+$A9*前提条件!$B$9*前提条件!$B$33+($A9*前提条件!$B$9*(D$4*前提条件!$B$13+前提条件!$B$14*2*前提条件!$B$15+前提条件!$B$16*前提条件!$B$17+前提条件!$B$18)*前提条件!$B$10)*(1+前提条件!$B$19)*前提条件!$B$34+前提条件!$B$36/120+前提条件!$B$37/60))</f>
        <v>6710860.8383744</v>
      </c>
      <c r="E9" s="25" t="n">
        <f aca="false">12*(($A9*前提条件!$B$9*(E$4*前提条件!$B$13+前提条件!$B$14*2*前提条件!$B$15+前提条件!$B$16*前提条件!$B$17+前提条件!$B$18)*前提条件!$B$10)-(((前提条件!$B$21+MAX(前提条件!$B$24,CEILING($A9/前提条件!$B$23,0.5))*前提条件!$B$22)*(12+前提条件!$B$25)/12*(1+前提条件!$B$26)+前提条件!$B$27)+前提条件!$B$29+前提条件!$B$30+前提条件!$B$31+前提条件!$B$32+$A9*前提条件!$B$9*前提条件!$B$33+($A9*前提条件!$B$9*(E$4*前提条件!$B$13+前提条件!$B$14*2*前提条件!$B$15+前提条件!$B$16*前提条件!$B$17+前提条件!$B$18)*前提条件!$B$10)*(1+前提条件!$B$19)*前提条件!$B$34+前提条件!$B$36/120+前提条件!$B$37/60))</f>
        <v>7132974.1859072</v>
      </c>
      <c r="F9" s="25" t="n">
        <f aca="false">12*(($A9*前提条件!$B$9*(F$4*前提条件!$B$13+前提条件!$B$14*2*前提条件!$B$15+前提条件!$B$16*前提条件!$B$17+前提条件!$B$18)*前提条件!$B$10)-(((前提条件!$B$21+MAX(前提条件!$B$24,CEILING($A9/前提条件!$B$23,0.5))*前提条件!$B$22)*(12+前提条件!$B$25)/12*(1+前提条件!$B$26)+前提条件!$B$27)+前提条件!$B$29+前提条件!$B$30+前提条件!$B$31+前提条件!$B$32+$A9*前提条件!$B$9*前提条件!$B$33+($A9*前提条件!$B$9*(F$4*前提条件!$B$13+前提条件!$B$14*2*前提条件!$B$15+前提条件!$B$16*前提条件!$B$17+前提条件!$B$18)*前提条件!$B$10)*(1+前提条件!$B$19)*前提条件!$B$34+前提条件!$B$36/120+前提条件!$B$37/60))</f>
        <v>7836496.4317952</v>
      </c>
    </row>
    <row r="10" customFormat="false" ht="15" hidden="false" customHeight="false" outlineLevel="0" collapsed="false">
      <c r="A10" s="41" t="n">
        <v>15</v>
      </c>
      <c r="B10" s="25" t="n">
        <f aca="false">12*(($A10*前提条件!$B$9*(B$4*前提条件!$B$13+前提条件!$B$14*2*前提条件!$B$15+前提条件!$B$16*前提条件!$B$17+前提条件!$B$18)*前提条件!$B$10)-(((前提条件!$B$21+MAX(前提条件!$B$24,CEILING($A10/前提条件!$B$23,0.5))*前提条件!$B$22)*(12+前提条件!$B$25)/12*(1+前提条件!$B$26)+前提条件!$B$27)+前提条件!$B$29+前提条件!$B$30+前提条件!$B$31+前提条件!$B$32+$A10*前提条件!$B$9*前提条件!$B$33+($A10*前提条件!$B$9*(B$4*前提条件!$B$13+前提条件!$B$14*2*前提条件!$B$15+前提条件!$B$16*前提条件!$B$17+前提条件!$B$18)*前提条件!$B$10)*(1+前提条件!$B$19)*前提条件!$B$34+前提条件!$B$36/120+前提条件!$B$37/60))</f>
        <v>6613385.950112</v>
      </c>
      <c r="C10" s="25" t="n">
        <f aca="false">12*(($A10*前提条件!$B$9*(C$4*前提条件!$B$13+前提条件!$B$14*2*前提条件!$B$15+前提条件!$B$16*前提条件!$B$17+前提条件!$B$18)*前提条件!$B$10)-(((前提条件!$B$21+MAX(前提条件!$B$24,CEILING($A10/前提条件!$B$23,0.5))*前提条件!$B$22)*(12+前提条件!$B$25)/12*(1+前提条件!$B$26)+前提条件!$B$27)+前提条件!$B$29+前提条件!$B$30+前提条件!$B$31+前提条件!$B$32+$A10*前提条件!$B$9*前提条件!$B$33+($A10*前提条件!$B$9*(C$4*前提条件!$B$13+前提条件!$B$14*2*前提条件!$B$15+前提条件!$B$16*前提条件!$B$17+前提条件!$B$18)*前提条件!$B$10)*(1+前提条件!$B$19)*前提条件!$B$34+前提条件!$B$36/120+前提条件!$B$37/60))</f>
        <v>7744046.702432</v>
      </c>
      <c r="D10" s="25" t="n">
        <f aca="false">12*(($A10*前提条件!$B$9*(D$4*前提条件!$B$13+前提条件!$B$14*2*前提条件!$B$15+前提条件!$B$16*前提条件!$B$17+前提条件!$B$18)*前提条件!$B$10)-(((前提条件!$B$21+MAX(前提条件!$B$24,CEILING($A10/前提条件!$B$23,0.5))*前提条件!$B$22)*(12+前提条件!$B$25)/12*(1+前提条件!$B$26)+前提条件!$B$27)+前提条件!$B$29+前提条件!$B$30+前提条件!$B$31+前提条件!$B$32+$A10*前提条件!$B$9*前提条件!$B$33+($A10*前提条件!$B$9*(D$4*前提条件!$B$13+前提条件!$B$14*2*前提条件!$B$15+前提条件!$B$16*前提条件!$B$17+前提条件!$B$18)*前提条件!$B$10)*(1+前提条件!$B$19)*前提条件!$B$34+前提条件!$B$36/120+前提条件!$B$37/60))</f>
        <v>8610886.612544</v>
      </c>
      <c r="E10" s="25" t="n">
        <f aca="false">12*(($A10*前提条件!$B$9*(E$4*前提条件!$B$13+前提条件!$B$14*2*前提条件!$B$15+前提条件!$B$16*前提条件!$B$17+前提条件!$B$18)*前提条件!$B$10)-(((前提条件!$B$21+MAX(前提条件!$B$24,CEILING($A10/前提条件!$B$23,0.5))*前提条件!$B$22)*(12+前提条件!$B$25)/12*(1+前提条件!$B$26)+前提条件!$B$27)+前提条件!$B$29+前提条件!$B$30+前提条件!$B$31+前提条件!$B$32+$A10*前提条件!$B$9*前提条件!$B$33+($A10*前提条件!$B$9*(E$4*前提条件!$B$13+前提条件!$B$14*2*前提条件!$B$15+前提条件!$B$16*前提条件!$B$17+前提条件!$B$18)*前提条件!$B$10)*(1+前提条件!$B$19)*前提条件!$B$34+前提条件!$B$36/120+前提条件!$B$37/60))</f>
        <v>9063150.913472</v>
      </c>
      <c r="F10" s="25" t="n">
        <f aca="false">12*(($A10*前提条件!$B$9*(F$4*前提条件!$B$13+前提条件!$B$14*2*前提条件!$B$15+前提条件!$B$16*前提条件!$B$17+前提条件!$B$18)*前提条件!$B$10)-(((前提条件!$B$21+MAX(前提条件!$B$24,CEILING($A10/前提条件!$B$23,0.5))*前提条件!$B$22)*(12+前提条件!$B$25)/12*(1+前提条件!$B$26)+前提条件!$B$27)+前提条件!$B$29+前提条件!$B$30+前提条件!$B$31+前提条件!$B$32+$A10*前提条件!$B$9*前提条件!$B$33+($A10*前提条件!$B$9*(F$4*前提条件!$B$13+前提条件!$B$14*2*前提条件!$B$15+前提条件!$B$16*前提条件!$B$17+前提条件!$B$18)*前提条件!$B$10)*(1+前提条件!$B$19)*前提条件!$B$34+前提条件!$B$36/120+前提条件!$B$37/60))</f>
        <v>9816924.748352</v>
      </c>
    </row>
    <row r="11" customFormat="false" ht="15" hidden="false" customHeight="false" outlineLevel="0" collapsed="false">
      <c r="A11" s="41" t="n">
        <v>16</v>
      </c>
      <c r="B11" s="25" t="n">
        <f aca="false">12*(($A11*前提条件!$B$9*(B$4*前提条件!$B$13+前提条件!$B$14*2*前提条件!$B$15+前提条件!$B$16*前提条件!$B$17+前提条件!$B$18)*前提条件!$B$10)-(((前提条件!$B$21+MAX(前提条件!$B$24,CEILING($A11/前提条件!$B$23,0.5))*前提条件!$B$22)*(12+前提条件!$B$25)/12*(1+前提条件!$B$26)+前提条件!$B$27)+前提条件!$B$29+前提条件!$B$30+前提条件!$B$31+前提条件!$B$32+$A11*前提条件!$B$9*前提条件!$B$33+($A11*前提条件!$B$9*(B$4*前提条件!$B$13+前提条件!$B$14*2*前提条件!$B$15+前提条件!$B$16*前提条件!$B$17+前提条件!$B$18)*前提条件!$B$10)*(1+前提条件!$B$19)*前提条件!$B$34+前提条件!$B$36/120+前提条件!$B$37/60))</f>
        <v>6528745.0134528</v>
      </c>
      <c r="C11" s="25" t="n">
        <f aca="false">12*(($A11*前提条件!$B$9*(C$4*前提条件!$B$13+前提条件!$B$14*2*前提条件!$B$15+前提条件!$B$16*前提条件!$B$17+前提条件!$B$18)*前提条件!$B$10)-(((前提条件!$B$21+MAX(前提条件!$B$24,CEILING($A11/前提条件!$B$23,0.5))*前提条件!$B$22)*(12+前提条件!$B$25)/12*(1+前提条件!$B$26)+前提条件!$B$27)+前提条件!$B$29+前提条件!$B$30+前提条件!$B$31+前提条件!$B$32+$A11*前提条件!$B$9*前提条件!$B$33+($A11*前提条件!$B$9*(C$4*前提条件!$B$13+前提条件!$B$14*2*前提条件!$B$15+前提条件!$B$16*前提条件!$B$17+前提条件!$B$18)*前提条件!$B$10)*(1+前提条件!$B$19)*前提条件!$B$34+前提条件!$B$36/120+前提条件!$B$37/60))</f>
        <v>7734783.1492608</v>
      </c>
      <c r="D11" s="25" t="n">
        <f aca="false">12*(($A11*前提条件!$B$9*(D$4*前提条件!$B$13+前提条件!$B$14*2*前提条件!$B$15+前提条件!$B$16*前提条件!$B$17+前提条件!$B$18)*前提条件!$B$10)-(((前提条件!$B$21+MAX(前提条件!$B$24,CEILING($A11/前提条件!$B$23,0.5))*前提条件!$B$22)*(12+前提条件!$B$25)/12*(1+前提条件!$B$26)+前提条件!$B$27)+前提条件!$B$29+前提条件!$B$30+前提条件!$B$31+前提条件!$B$32+$A11*前提条件!$B$9*前提条件!$B$33+($A11*前提条件!$B$9*(D$4*前提条件!$B$13+前提条件!$B$14*2*前提条件!$B$15+前提条件!$B$16*前提条件!$B$17+前提条件!$B$18)*前提条件!$B$10)*(1+前提条件!$B$19)*前提条件!$B$34+前提条件!$B$36/120+前提条件!$B$37/60))</f>
        <v>8659412.3867136</v>
      </c>
      <c r="E11" s="25" t="n">
        <f aca="false">12*(($A11*前提条件!$B$9*(E$4*前提条件!$B$13+前提条件!$B$14*2*前提条件!$B$15+前提条件!$B$16*前提条件!$B$17+前提条件!$B$18)*前提条件!$B$10)-(((前提条件!$B$21+MAX(前提条件!$B$24,CEILING($A11/前提条件!$B$23,0.5))*前提条件!$B$22)*(12+前提条件!$B$25)/12*(1+前提条件!$B$26)+前提条件!$B$27)+前提条件!$B$29+前提条件!$B$30+前提条件!$B$31+前提条件!$B$32+$A11*前提条件!$B$9*前提条件!$B$33+($A11*前提条件!$B$9*(E$4*前提条件!$B$13+前提条件!$B$14*2*前提条件!$B$15+前提条件!$B$16*前提条件!$B$17+前提条件!$B$18)*前提条件!$B$10)*(1+前提条件!$B$19)*前提条件!$B$34+前提条件!$B$36/120+前提条件!$B$37/60))</f>
        <v>9141827.64103681</v>
      </c>
      <c r="F11" s="25" t="n">
        <f aca="false">12*(($A11*前提条件!$B$9*(F$4*前提条件!$B$13+前提条件!$B$14*2*前提条件!$B$15+前提条件!$B$16*前提条件!$B$17+前提条件!$B$18)*前提条件!$B$10)-(((前提条件!$B$21+MAX(前提条件!$B$24,CEILING($A11/前提条件!$B$23,0.5))*前提条件!$B$22)*(12+前提条件!$B$25)/12*(1+前提条件!$B$26)+前提条件!$B$27)+前提条件!$B$29+前提条件!$B$30+前提条件!$B$31+前提条件!$B$32+$A11*前提条件!$B$9*前提条件!$B$33+($A11*前提条件!$B$9*(F$4*前提条件!$B$13+前提条件!$B$14*2*前提条件!$B$15+前提条件!$B$16*前提条件!$B$17+前提条件!$B$18)*前提条件!$B$10)*(1+前提条件!$B$19)*前提条件!$B$34+前提条件!$B$36/120+前提条件!$B$37/60))</f>
        <v>9945853.0649088</v>
      </c>
    </row>
    <row r="12" customFormat="false" ht="15" hidden="false" customHeight="false" outlineLevel="0" collapsed="false">
      <c r="A12" s="41" t="n">
        <v>17</v>
      </c>
      <c r="B12" s="25" t="n">
        <f aca="false">12*(($A12*前提条件!$B$9*(B$4*前提条件!$B$13+前提条件!$B$14*2*前提条件!$B$15+前提条件!$B$16*前提条件!$B$17+前提条件!$B$18)*前提条件!$B$10)-(((前提条件!$B$21+MAX(前提条件!$B$24,CEILING($A12/前提条件!$B$23,0.5))*前提条件!$B$22)*(12+前提条件!$B$25)/12*(1+前提条件!$B$26)+前提条件!$B$27)+前提条件!$B$29+前提条件!$B$30+前提条件!$B$31+前提条件!$B$32+$A12*前提条件!$B$9*前提条件!$B$33+($A12*前提条件!$B$9*(B$4*前提条件!$B$13+前提条件!$B$14*2*前提条件!$B$15+前提条件!$B$16*前提条件!$B$17+前提条件!$B$18)*前提条件!$B$10)*(1+前提条件!$B$19)*前提条件!$B$34+前提条件!$B$36/120+前提条件!$B$37/60))</f>
        <v>8295604.0767936</v>
      </c>
      <c r="C12" s="25" t="n">
        <f aca="false">12*(($A12*前提条件!$B$9*(C$4*前提条件!$B$13+前提条件!$B$14*2*前提条件!$B$15+前提条件!$B$16*前提条件!$B$17+前提条件!$B$18)*前提条件!$B$10)-(((前提条件!$B$21+MAX(前提条件!$B$24,CEILING($A12/前提条件!$B$23,0.5))*前提条件!$B$22)*(12+前提条件!$B$25)/12*(1+前提条件!$B$26)+前提条件!$B$27)+前提条件!$B$29+前提条件!$B$30+前提条件!$B$31+前提条件!$B$32+$A12*前提条件!$B$9*前提条件!$B$33+($A12*前提条件!$B$9*(C$4*前提条件!$B$13+前提条件!$B$14*2*前提条件!$B$15+前提条件!$B$16*前提条件!$B$17+前提条件!$B$18)*前提条件!$B$10)*(1+前提条件!$B$19)*前提条件!$B$34+前提条件!$B$36/120+前提条件!$B$37/60))</f>
        <v>9577019.5960896</v>
      </c>
      <c r="D12" s="25" t="n">
        <f aca="false">12*(($A12*前提条件!$B$9*(D$4*前提条件!$B$13+前提条件!$B$14*2*前提条件!$B$15+前提条件!$B$16*前提条件!$B$17+前提条件!$B$18)*前提条件!$B$10)-(((前提条件!$B$21+MAX(前提条件!$B$24,CEILING($A12/前提条件!$B$23,0.5))*前提条件!$B$22)*(12+前提条件!$B$25)/12*(1+前提条件!$B$26)+前提条件!$B$27)+前提条件!$B$29+前提条件!$B$30+前提条件!$B$31+前提条件!$B$32+$A12*前提条件!$B$9*前提条件!$B$33+($A12*前提条件!$B$9*(D$4*前提条件!$B$13+前提条件!$B$14*2*前提条件!$B$15+前提条件!$B$16*前提条件!$B$17+前提条件!$B$18)*前提条件!$B$10)*(1+前提条件!$B$19)*前提条件!$B$34+前提条件!$B$36/120+前提条件!$B$37/60))</f>
        <v>10559438.1608832</v>
      </c>
      <c r="E12" s="25" t="n">
        <f aca="false">12*(($A12*前提条件!$B$9*(E$4*前提条件!$B$13+前提条件!$B$14*2*前提条件!$B$15+前提条件!$B$16*前提条件!$B$17+前提条件!$B$18)*前提条件!$B$10)-(((前提条件!$B$21+MAX(前提条件!$B$24,CEILING($A12/前提条件!$B$23,0.5))*前提条件!$B$22)*(12+前提条件!$B$25)/12*(1+前提条件!$B$26)+前提条件!$B$27)+前提条件!$B$29+前提条件!$B$30+前提条件!$B$31+前提条件!$B$32+$A12*前提条件!$B$9*前提条件!$B$33+($A12*前提条件!$B$9*(E$4*前提条件!$B$13+前提条件!$B$14*2*前提条件!$B$15+前提条件!$B$16*前提条件!$B$17+前提条件!$B$18)*前提条件!$B$10)*(1+前提条件!$B$19)*前提条件!$B$34+前提条件!$B$36/120+前提条件!$B$37/60))</f>
        <v>11072004.3686016</v>
      </c>
      <c r="F12" s="25" t="n">
        <f aca="false">12*(($A12*前提条件!$B$9*(F$4*前提条件!$B$13+前提条件!$B$14*2*前提条件!$B$15+前提条件!$B$16*前提条件!$B$17+前提条件!$B$18)*前提条件!$B$10)-(((前提条件!$B$21+MAX(前提条件!$B$24,CEILING($A12/前提条件!$B$23,0.5))*前提条件!$B$22)*(12+前提条件!$B$25)/12*(1+前提条件!$B$26)+前提条件!$B$27)+前提条件!$B$29+前提条件!$B$30+前提条件!$B$31+前提条件!$B$32+$A12*前提条件!$B$9*前提条件!$B$33+($A12*前提条件!$B$9*(F$4*前提条件!$B$13+前提条件!$B$14*2*前提条件!$B$15+前提条件!$B$16*前提条件!$B$17+前提条件!$B$18)*前提条件!$B$10)*(1+前提条件!$B$19)*前提条件!$B$34+前提条件!$B$36/120+前提条件!$B$37/60))</f>
        <v>11926281.3814656</v>
      </c>
    </row>
    <row r="13" customFormat="false" ht="15" hidden="false" customHeight="false" outlineLevel="0" collapsed="false">
      <c r="A13" s="41" t="n">
        <v>18</v>
      </c>
      <c r="B13" s="25" t="n">
        <f aca="false">12*(($A13*前提条件!$B$9*(B$4*前提条件!$B$13+前提条件!$B$14*2*前提条件!$B$15+前提条件!$B$16*前提条件!$B$17+前提条件!$B$18)*前提条件!$B$10)-(((前提条件!$B$21+MAX(前提条件!$B$24,CEILING($A13/前提条件!$B$23,0.5))*前提条件!$B$22)*(12+前提条件!$B$25)/12*(1+前提条件!$B$26)+前提条件!$B$27)+前提条件!$B$29+前提条件!$B$30+前提条件!$B$31+前提条件!$B$32+$A13*前提条件!$B$9*前提条件!$B$33+($A13*前提条件!$B$9*(B$4*前提条件!$B$13+前提条件!$B$14*2*前提条件!$B$15+前提条件!$B$16*前提条件!$B$17+前提条件!$B$18)*前提条件!$B$10)*(1+前提条件!$B$19)*前提条件!$B$34+前提条件!$B$36/120+前提条件!$B$37/60))</f>
        <v>10062463.1401344</v>
      </c>
      <c r="C13" s="25" t="n">
        <f aca="false">12*(($A13*前提条件!$B$9*(C$4*前提条件!$B$13+前提条件!$B$14*2*前提条件!$B$15+前提条件!$B$16*前提条件!$B$17+前提条件!$B$18)*前提条件!$B$10)-(((前提条件!$B$21+MAX(前提条件!$B$24,CEILING($A13/前提条件!$B$23,0.5))*前提条件!$B$22)*(12+前提条件!$B$25)/12*(1+前提条件!$B$26)+前提条件!$B$27)+前提条件!$B$29+前提条件!$B$30+前提条件!$B$31+前提条件!$B$32+$A13*前提条件!$B$9*前提条件!$B$33+($A13*前提条件!$B$9*(C$4*前提条件!$B$13+前提条件!$B$14*2*前提条件!$B$15+前提条件!$B$16*前提条件!$B$17+前提条件!$B$18)*前提条件!$B$10)*(1+前提条件!$B$19)*前提条件!$B$34+前提条件!$B$36/120+前提条件!$B$37/60))</f>
        <v>11419256.0429184</v>
      </c>
      <c r="D13" s="25" t="n">
        <f aca="false">12*(($A13*前提条件!$B$9*(D$4*前提条件!$B$13+前提条件!$B$14*2*前提条件!$B$15+前提条件!$B$16*前提条件!$B$17+前提条件!$B$18)*前提条件!$B$10)-(((前提条件!$B$21+MAX(前提条件!$B$24,CEILING($A13/前提条件!$B$23,0.5))*前提条件!$B$22)*(12+前提条件!$B$25)/12*(1+前提条件!$B$26)+前提条件!$B$27)+前提条件!$B$29+前提条件!$B$30+前提条件!$B$31+前提条件!$B$32+$A13*前提条件!$B$9*前提条件!$B$33+($A13*前提条件!$B$9*(D$4*前提条件!$B$13+前提条件!$B$14*2*前提条件!$B$15+前提条件!$B$16*前提条件!$B$17+前提条件!$B$18)*前提条件!$B$10)*(1+前提条件!$B$19)*前提条件!$B$34+前提条件!$B$36/120+前提条件!$B$37/60))</f>
        <v>12459463.9350528</v>
      </c>
      <c r="E13" s="25" t="n">
        <f aca="false">12*(($A13*前提条件!$B$9*(E$4*前提条件!$B$13+前提条件!$B$14*2*前提条件!$B$15+前提条件!$B$16*前提条件!$B$17+前提条件!$B$18)*前提条件!$B$10)-(((前提条件!$B$21+MAX(前提条件!$B$24,CEILING($A13/前提条件!$B$23,0.5))*前提条件!$B$22)*(12+前提条件!$B$25)/12*(1+前提条件!$B$26)+前提条件!$B$27)+前提条件!$B$29+前提条件!$B$30+前提条件!$B$31+前提条件!$B$32+$A13*前提条件!$B$9*前提条件!$B$33+($A13*前提条件!$B$9*(E$4*前提条件!$B$13+前提条件!$B$14*2*前提条件!$B$15+前提条件!$B$16*前提条件!$B$17+前提条件!$B$18)*前提条件!$B$10)*(1+前提条件!$B$19)*前提条件!$B$34+前提条件!$B$36/120+前提条件!$B$37/60))</f>
        <v>13002181.0961664</v>
      </c>
      <c r="F13" s="25" t="n">
        <f aca="false">12*(($A13*前提条件!$B$9*(F$4*前提条件!$B$13+前提条件!$B$14*2*前提条件!$B$15+前提条件!$B$16*前提条件!$B$17+前提条件!$B$18)*前提条件!$B$10)-(((前提条件!$B$21+MAX(前提条件!$B$24,CEILING($A13/前提条件!$B$23,0.5))*前提条件!$B$22)*(12+前提条件!$B$25)/12*(1+前提条件!$B$26)+前提条件!$B$27)+前提条件!$B$29+前提条件!$B$30+前提条件!$B$31+前提条件!$B$32+$A13*前提条件!$B$9*前提条件!$B$33+($A13*前提条件!$B$9*(F$4*前提条件!$B$13+前提条件!$B$14*2*前提条件!$B$15+前提条件!$B$16*前提条件!$B$17+前提条件!$B$18)*前提条件!$B$10)*(1+前提条件!$B$19)*前提条件!$B$34+前提条件!$B$36/120+前提条件!$B$37/60))</f>
        <v>13906709.6980224</v>
      </c>
    </row>
    <row r="14" customFormat="false" ht="15" hidden="false" customHeight="false" outlineLevel="0" collapsed="false">
      <c r="A14" s="41" t="n">
        <v>19</v>
      </c>
      <c r="B14" s="25" t="n">
        <f aca="false">12*(($A14*前提条件!$B$9*(B$4*前提条件!$B$13+前提条件!$B$14*2*前提条件!$B$15+前提条件!$B$16*前提条件!$B$17+前提条件!$B$18)*前提条件!$B$10)-(((前提条件!$B$21+MAX(前提条件!$B$24,CEILING($A14/前提条件!$B$23,0.5))*前提条件!$B$22)*(12+前提条件!$B$25)/12*(1+前提条件!$B$26)+前提条件!$B$27)+前提条件!$B$29+前提条件!$B$30+前提条件!$B$31+前提条件!$B$32+$A14*前提条件!$B$9*前提条件!$B$33+($A14*前提条件!$B$9*(B$4*前提条件!$B$13+前提条件!$B$14*2*前提条件!$B$15+前提条件!$B$16*前提条件!$B$17+前提条件!$B$18)*前提条件!$B$10)*(1+前提条件!$B$19)*前提条件!$B$34+前提条件!$B$36/120+前提条件!$B$37/60))</f>
        <v>9977822.2034752</v>
      </c>
      <c r="C14" s="25" t="n">
        <f aca="false">12*(($A14*前提条件!$B$9*(C$4*前提条件!$B$13+前提条件!$B$14*2*前提条件!$B$15+前提条件!$B$16*前提条件!$B$17+前提条件!$B$18)*前提条件!$B$10)-(((前提条件!$B$21+MAX(前提条件!$B$24,CEILING($A14/前提条件!$B$23,0.5))*前提条件!$B$22)*(12+前提条件!$B$25)/12*(1+前提条件!$B$26)+前提条件!$B$27)+前提条件!$B$29+前提条件!$B$30+前提条件!$B$31+前提条件!$B$32+$A14*前提条件!$B$9*前提条件!$B$33+($A14*前提条件!$B$9*(C$4*前提条件!$B$13+前提条件!$B$14*2*前提条件!$B$15+前提条件!$B$16*前提条件!$B$17+前提条件!$B$18)*前提条件!$B$10)*(1+前提条件!$B$19)*前提条件!$B$34+前提条件!$B$36/120+前提条件!$B$37/60))</f>
        <v>11409992.4897472</v>
      </c>
      <c r="D14" s="25" t="n">
        <f aca="false">12*(($A14*前提条件!$B$9*(D$4*前提条件!$B$13+前提条件!$B$14*2*前提条件!$B$15+前提条件!$B$16*前提条件!$B$17+前提条件!$B$18)*前提条件!$B$10)-(((前提条件!$B$21+MAX(前提条件!$B$24,CEILING($A14/前提条件!$B$23,0.5))*前提条件!$B$22)*(12+前提条件!$B$25)/12*(1+前提条件!$B$26)+前提条件!$B$27)+前提条件!$B$29+前提条件!$B$30+前提条件!$B$31+前提条件!$B$32+$A14*前提条件!$B$9*前提条件!$B$33+($A14*前提条件!$B$9*(D$4*前提条件!$B$13+前提条件!$B$14*2*前提条件!$B$15+前提条件!$B$16*前提条件!$B$17+前提条件!$B$18)*前提条件!$B$10)*(1+前提条件!$B$19)*前提条件!$B$34+前提条件!$B$36/120+前提条件!$B$37/60))</f>
        <v>12507989.7092224</v>
      </c>
      <c r="E14" s="25" t="n">
        <f aca="false">12*(($A14*前提条件!$B$9*(E$4*前提条件!$B$13+前提条件!$B$14*2*前提条件!$B$15+前提条件!$B$16*前提条件!$B$17+前提条件!$B$18)*前提条件!$B$10)-(((前提条件!$B$21+MAX(前提条件!$B$24,CEILING($A14/前提条件!$B$23,0.5))*前提条件!$B$22)*(12+前提条件!$B$25)/12*(1+前提条件!$B$26)+前提条件!$B$27)+前提条件!$B$29+前提条件!$B$30+前提条件!$B$31+前提条件!$B$32+$A14*前提条件!$B$9*前提条件!$B$33+($A14*前提条件!$B$9*(E$4*前提条件!$B$13+前提条件!$B$14*2*前提条件!$B$15+前提条件!$B$16*前提条件!$B$17+前提条件!$B$18)*前提条件!$B$10)*(1+前提条件!$B$19)*前提条件!$B$34+前提条件!$B$36/120+前提条件!$B$37/60))</f>
        <v>13080857.8237312</v>
      </c>
      <c r="F14" s="25" t="n">
        <f aca="false">12*(($A14*前提条件!$B$9*(F$4*前提条件!$B$13+前提条件!$B$14*2*前提条件!$B$15+前提条件!$B$16*前提条件!$B$17+前提条件!$B$18)*前提条件!$B$10)-(((前提条件!$B$21+MAX(前提条件!$B$24,CEILING($A14/前提条件!$B$23,0.5))*前提条件!$B$22)*(12+前提条件!$B$25)/12*(1+前提条件!$B$26)+前提条件!$B$27)+前提条件!$B$29+前提条件!$B$30+前提条件!$B$31+前提条件!$B$32+$A14*前提条件!$B$9*前提条件!$B$33+($A14*前提条件!$B$9*(F$4*前提条件!$B$13+前提条件!$B$14*2*前提条件!$B$15+前提条件!$B$16*前提条件!$B$17+前提条件!$B$18)*前提条件!$B$10)*(1+前提条件!$B$19)*前提条件!$B$34+前提条件!$B$36/120+前提条件!$B$37/60))</f>
        <v>14035638.0145792</v>
      </c>
    </row>
    <row r="15" customFormat="false" ht="15" hidden="false" customHeight="false" outlineLevel="0" collapsed="false">
      <c r="A15" s="41" t="n">
        <v>20</v>
      </c>
      <c r="B15" s="25" t="n">
        <f aca="false">12*(($A15*前提条件!$B$9*(B$4*前提条件!$B$13+前提条件!$B$14*2*前提条件!$B$15+前提条件!$B$16*前提条件!$B$17+前提条件!$B$18)*前提条件!$B$10)-(((前提条件!$B$21+MAX(前提条件!$B$24,CEILING($A15/前提条件!$B$23,0.5))*前提条件!$B$22)*(12+前提条件!$B$25)/12*(1+前提条件!$B$26)+前提条件!$B$27)+前提条件!$B$29+前提条件!$B$30+前提条件!$B$31+前提条件!$B$32+$A15*前提条件!$B$9*前提条件!$B$33+($A15*前提条件!$B$9*(B$4*前提条件!$B$13+前提条件!$B$14*2*前提条件!$B$15+前提条件!$B$16*前提条件!$B$17+前提条件!$B$18)*前提条件!$B$10)*(1+前提条件!$B$19)*前提条件!$B$34+前提条件!$B$36/120+前提条件!$B$37/60))</f>
        <v>11744681.266816</v>
      </c>
      <c r="C15" s="25" t="n">
        <f aca="false">12*(($A15*前提条件!$B$9*(C$4*前提条件!$B$13+前提条件!$B$14*2*前提条件!$B$15+前提条件!$B$16*前提条件!$B$17+前提条件!$B$18)*前提条件!$B$10)-(((前提条件!$B$21+MAX(前提条件!$B$24,CEILING($A15/前提条件!$B$23,0.5))*前提条件!$B$22)*(12+前提条件!$B$25)/12*(1+前提条件!$B$26)+前提条件!$B$27)+前提条件!$B$29+前提条件!$B$30+前提条件!$B$31+前提条件!$B$32+$A15*前提条件!$B$9*前提条件!$B$33+($A15*前提条件!$B$9*(C$4*前提条件!$B$13+前提条件!$B$14*2*前提条件!$B$15+前提条件!$B$16*前提条件!$B$17+前提条件!$B$18)*前提条件!$B$10)*(1+前提条件!$B$19)*前提条件!$B$34+前提条件!$B$36/120+前提条件!$B$37/60))</f>
        <v>13252228.936576</v>
      </c>
      <c r="D15" s="25" t="n">
        <f aca="false">12*(($A15*前提条件!$B$9*(D$4*前提条件!$B$13+前提条件!$B$14*2*前提条件!$B$15+前提条件!$B$16*前提条件!$B$17+前提条件!$B$18)*前提条件!$B$10)-(((前提条件!$B$21+MAX(前提条件!$B$24,CEILING($A15/前提条件!$B$23,0.5))*前提条件!$B$22)*(12+前提条件!$B$25)/12*(1+前提条件!$B$26)+前提条件!$B$27)+前提条件!$B$29+前提条件!$B$30+前提条件!$B$31+前提条件!$B$32+$A15*前提条件!$B$9*前提条件!$B$33+($A15*前提条件!$B$9*(D$4*前提条件!$B$13+前提条件!$B$14*2*前提条件!$B$15+前提条件!$B$16*前提条件!$B$17+前提条件!$B$18)*前提条件!$B$10)*(1+前提条件!$B$19)*前提条件!$B$34+前提条件!$B$36/120+前提条件!$B$37/60))</f>
        <v>14408015.483392</v>
      </c>
      <c r="E15" s="25" t="n">
        <f aca="false">12*(($A15*前提条件!$B$9*(E$4*前提条件!$B$13+前提条件!$B$14*2*前提条件!$B$15+前提条件!$B$16*前提条件!$B$17+前提条件!$B$18)*前提条件!$B$10)-(((前提条件!$B$21+MAX(前提条件!$B$24,CEILING($A15/前提条件!$B$23,0.5))*前提条件!$B$22)*(12+前提条件!$B$25)/12*(1+前提条件!$B$26)+前提条件!$B$27)+前提条件!$B$29+前提条件!$B$30+前提条件!$B$31+前提条件!$B$32+$A15*前提条件!$B$9*前提条件!$B$33+($A15*前提条件!$B$9*(E$4*前提条件!$B$13+前提条件!$B$14*2*前提条件!$B$15+前提条件!$B$16*前提条件!$B$17+前提条件!$B$18)*前提条件!$B$10)*(1+前提条件!$B$19)*前提条件!$B$34+前提条件!$B$36/120+前提条件!$B$37/60))</f>
        <v>15011034.551296</v>
      </c>
      <c r="F15" s="25" t="n">
        <f aca="false">12*(($A15*前提条件!$B$9*(F$4*前提条件!$B$13+前提条件!$B$14*2*前提条件!$B$15+前提条件!$B$16*前提条件!$B$17+前提条件!$B$18)*前提条件!$B$10)-(((前提条件!$B$21+MAX(前提条件!$B$24,CEILING($A15/前提条件!$B$23,0.5))*前提条件!$B$22)*(12+前提条件!$B$25)/12*(1+前提条件!$B$26)+前提条件!$B$27)+前提条件!$B$29+前提条件!$B$30+前提条件!$B$31+前提条件!$B$32+$A15*前提条件!$B$9*前提条件!$B$33+($A15*前提条件!$B$9*(F$4*前提条件!$B$13+前提条件!$B$14*2*前提条件!$B$15+前提条件!$B$16*前提条件!$B$17+前提条件!$B$18)*前提条件!$B$10)*(1+前提条件!$B$19)*前提条件!$B$34+前提条件!$B$36/120+前提条件!$B$37/60))</f>
        <v>16016066.331136</v>
      </c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</row>
    <row r="17" customFormat="false" ht="15" hidden="false" customHeight="false" outlineLevel="0" collapsed="false">
      <c r="A17" s="7" t="s">
        <v>176</v>
      </c>
      <c r="B17" s="7"/>
      <c r="C17" s="7"/>
      <c r="D17" s="7"/>
      <c r="E17" s="7"/>
      <c r="F17" s="7"/>
    </row>
  </sheetData>
  <conditionalFormatting sqref="B5:F15">
    <cfRule type="cellIs" priority="2" operator="lessThan" aboveAverage="0" equalAverage="0" bottom="0" percent="0" rank="0" text="" dxfId="1">
      <formula>0</formula>
    </cfRule>
    <cfRule type="cellIs" priority="3" operator="greater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4" min="4" style="0" width="34"/>
  </cols>
  <sheetData>
    <row r="1" customFormat="false" ht="19.4" hidden="false" customHeight="false" outlineLevel="0" collapsed="false">
      <c r="A1" s="5" t="s">
        <v>177</v>
      </c>
      <c r="B1" s="7"/>
      <c r="C1" s="7"/>
      <c r="D1" s="7"/>
    </row>
    <row r="2" customFormat="false" ht="15" hidden="false" customHeight="false" outlineLevel="0" collapsed="false">
      <c r="A2" s="7"/>
      <c r="B2" s="7"/>
      <c r="C2" s="7"/>
      <c r="D2" s="7"/>
    </row>
    <row r="3" customFormat="false" ht="15" hidden="false" customHeight="false" outlineLevel="0" collapsed="false">
      <c r="A3" s="8" t="s">
        <v>178</v>
      </c>
      <c r="B3" s="8" t="s">
        <v>179</v>
      </c>
      <c r="C3" s="8" t="s">
        <v>180</v>
      </c>
      <c r="D3" s="8" t="s">
        <v>181</v>
      </c>
    </row>
    <row r="4" customFormat="false" ht="28.35" hidden="false" customHeight="false" outlineLevel="0" collapsed="false">
      <c r="A4" s="42" t="s">
        <v>182</v>
      </c>
      <c r="B4" s="43" t="s">
        <v>183</v>
      </c>
      <c r="C4" s="43" t="s">
        <v>184</v>
      </c>
      <c r="D4" s="43" t="s">
        <v>185</v>
      </c>
    </row>
    <row r="5" customFormat="false" ht="28.35" hidden="false" customHeight="false" outlineLevel="0" collapsed="false">
      <c r="A5" s="42" t="s">
        <v>186</v>
      </c>
      <c r="B5" s="43" t="s">
        <v>187</v>
      </c>
      <c r="C5" s="43" t="s">
        <v>188</v>
      </c>
      <c r="D5" s="43" t="s">
        <v>189</v>
      </c>
    </row>
    <row r="6" customFormat="false" ht="15" hidden="false" customHeight="false" outlineLevel="0" collapsed="false">
      <c r="A6" s="42" t="s">
        <v>190</v>
      </c>
      <c r="B6" s="43" t="s">
        <v>191</v>
      </c>
      <c r="C6" s="43" t="s">
        <v>192</v>
      </c>
      <c r="D6" s="43" t="s">
        <v>185</v>
      </c>
    </row>
    <row r="7" customFormat="false" ht="15" hidden="false" customHeight="false" outlineLevel="0" collapsed="false">
      <c r="A7" s="42" t="s">
        <v>193</v>
      </c>
      <c r="B7" s="43" t="s">
        <v>194</v>
      </c>
      <c r="C7" s="43" t="s">
        <v>195</v>
      </c>
      <c r="D7" s="43" t="s">
        <v>185</v>
      </c>
    </row>
    <row r="8" customFormat="false" ht="28.35" hidden="false" customHeight="false" outlineLevel="0" collapsed="false">
      <c r="A8" s="42" t="s">
        <v>196</v>
      </c>
      <c r="B8" s="43" t="s">
        <v>197</v>
      </c>
      <c r="C8" s="43" t="s">
        <v>198</v>
      </c>
      <c r="D8" s="43" t="s">
        <v>199</v>
      </c>
    </row>
    <row r="9" customFormat="false" ht="28.35" hidden="false" customHeight="false" outlineLevel="0" collapsed="false">
      <c r="A9" s="42" t="s">
        <v>200</v>
      </c>
      <c r="B9" s="43" t="s">
        <v>201</v>
      </c>
      <c r="C9" s="43" t="s">
        <v>202</v>
      </c>
      <c r="D9" s="43" t="s">
        <v>203</v>
      </c>
    </row>
    <row r="10" customFormat="false" ht="15" hidden="false" customHeight="false" outlineLevel="0" collapsed="false">
      <c r="A10" s="42" t="s">
        <v>204</v>
      </c>
      <c r="B10" s="43" t="s">
        <v>205</v>
      </c>
      <c r="C10" s="43" t="s">
        <v>206</v>
      </c>
      <c r="D10" s="43" t="s">
        <v>185</v>
      </c>
    </row>
    <row r="11" customFormat="false" ht="28.35" hidden="false" customHeight="false" outlineLevel="0" collapsed="false">
      <c r="A11" s="42" t="s">
        <v>207</v>
      </c>
      <c r="B11" s="43" t="s">
        <v>208</v>
      </c>
      <c r="C11" s="43" t="s">
        <v>209</v>
      </c>
      <c r="D11" s="43" t="s">
        <v>210</v>
      </c>
    </row>
    <row r="12" customFormat="false" ht="28.35" hidden="false" customHeight="false" outlineLevel="0" collapsed="false">
      <c r="A12" s="42" t="s">
        <v>211</v>
      </c>
      <c r="B12" s="43" t="s">
        <v>212</v>
      </c>
      <c r="C12" s="43" t="s">
        <v>213</v>
      </c>
      <c r="D12" s="43" t="s">
        <v>214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2026-09-30T03:11:05Z</dcterms:created>
  <dc:creator>openpyxl</dc:creator>
  <dc:description/>
  <dc:language>en-US</dc:language>
  <cp:lastModifiedBy/>
  <dcterms:modified xsi:type="dcterms:W3CDTF">2026-09-30T03:11:06Z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